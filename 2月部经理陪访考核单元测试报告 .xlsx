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75" activeTab="2"/>
  </bookViews>
  <sheets>
    <sheet name="封面" sheetId="1" r:id="rId1"/>
    <sheet name="单元测试情况汇总" sheetId="6" r:id="rId2"/>
    <sheet name="寿险2021智慧银保行销支持系统" sheetId="9" r:id="rId3"/>
    <sheet name="缺陷记录" sheetId="8" r:id="rId4"/>
    <sheet name="测试用例设计规范" sheetId="4" r:id="rId5"/>
    <sheet name="缺陷等级说明" sheetId="5" r:id="rId6"/>
  </sheets>
  <definedNames>
    <definedName name="_xlnm._FilterDatabase" localSheetId="2" hidden="1">寿险2021智慧银保行销支持系统!$A$9:$N$12</definedName>
    <definedName name="_xlnm._FilterDatabase" localSheetId="3" hidden="1">缺陷记录!$A$8:$Q$8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<sst xmlns="http://schemas.openxmlformats.org/spreadsheetml/2006/main" count="220" uniqueCount="192">
  <si>
    <t>单元测试报告</t>
  </si>
  <si>
    <t>版本</t>
  </si>
  <si>
    <t>日期</t>
  </si>
  <si>
    <t>修改者</t>
  </si>
  <si>
    <t>说明</t>
  </si>
  <si>
    <t>备注</t>
  </si>
  <si>
    <t>2026.03.03</t>
  </si>
  <si>
    <t>杨番</t>
  </si>
  <si>
    <t>初稿创建</t>
  </si>
  <si>
    <t>寿险2021智慧银保销售管理系统-智慧银保-单元测试情况汇总</t>
  </si>
  <si>
    <t>项目名称</t>
  </si>
  <si>
    <t>寿险2021智慧银保行销支持系统</t>
  </si>
  <si>
    <t>版本号</t>
  </si>
  <si>
    <t>项目经理</t>
  </si>
  <si>
    <t>聂金龙</t>
  </si>
  <si>
    <t>测试结论</t>
  </si>
  <si>
    <t>测试通过</t>
  </si>
  <si>
    <t>编写用例数（个）</t>
  </si>
  <si>
    <t>执行用例数（个）</t>
  </si>
  <si>
    <t>通过用例数（个）</t>
  </si>
  <si>
    <t>失败用例数（个）</t>
  </si>
  <si>
    <t>挂起用例数（个）</t>
  </si>
  <si>
    <t>撤销用例数（个）</t>
  </si>
  <si>
    <t>缺陷总数（个）</t>
  </si>
  <si>
    <t>未通过缺陷数（个）</t>
  </si>
  <si>
    <t>测试集编号</t>
  </si>
  <si>
    <t>测试集名称</t>
  </si>
  <si>
    <t>测试人</t>
  </si>
  <si>
    <t>用例编写数</t>
  </si>
  <si>
    <t>用例执行数</t>
  </si>
  <si>
    <t>通过用例数</t>
  </si>
  <si>
    <t>失败用例数</t>
  </si>
  <si>
    <t>挂起用例数</t>
  </si>
  <si>
    <t>撤销用例数</t>
  </si>
  <si>
    <t>通过率</t>
  </si>
  <si>
    <t>失败涉及问题</t>
  </si>
  <si>
    <t>更新日期</t>
  </si>
  <si>
    <t>寿险2021智慧银保销售管理系统</t>
  </si>
  <si>
    <t>需求项</t>
  </si>
  <si>
    <t>2月部经理陪访系数优化</t>
  </si>
  <si>
    <t>用例编写人</t>
  </si>
  <si>
    <t>用例执行人</t>
  </si>
  <si>
    <t>用例编写数总计</t>
  </si>
  <si>
    <t>正向案例个数</t>
  </si>
  <si>
    <t>反向案例个数</t>
  </si>
  <si>
    <t>失败案例个数</t>
  </si>
  <si>
    <t>通过案例个数</t>
  </si>
  <si>
    <t>用例编号</t>
  </si>
  <si>
    <t>测试项</t>
  </si>
  <si>
    <t>用例描述</t>
  </si>
  <si>
    <t>预置条件</t>
  </si>
  <si>
    <t>输入数据</t>
  </si>
  <si>
    <t>测试步骤</t>
  </si>
  <si>
    <t>预期结果</t>
  </si>
  <si>
    <t>实际结果</t>
  </si>
  <si>
    <t>批处理五防</t>
  </si>
  <si>
    <t>用例类型</t>
  </si>
  <si>
    <t>执行状态</t>
  </si>
  <si>
    <t>执行日期</t>
  </si>
  <si>
    <t>执行人员</t>
  </si>
  <si>
    <t>2月份业务部经理陪访配谈陪访进度分子变动</t>
  </si>
  <si>
    <t>将每位重点人员的26年2月实际陪访次数上限调整为 “3”，实际陪访最多9次，数据来源中台同步</t>
  </si>
  <si>
    <t>数据准备完成</t>
  </si>
  <si>
    <t>1.登录dataworks数据中台，执行业务流程，查看中台同步表字段数据</t>
  </si>
  <si>
    <t>成功</t>
  </si>
  <si>
    <t>符合预期</t>
  </si>
  <si>
    <t>防错</t>
  </si>
  <si>
    <t>正向案例</t>
  </si>
  <si>
    <t>通过</t>
  </si>
  <si>
    <t>2月份业务部经理陪访系数计算逻辑调整，计算当月逻辑调整</t>
  </si>
  <si>
    <t>2月份业务部经理陪访系数计算逻辑调整，中台每天跑当月逻辑调整，当月份为202602时，按照新规则计算，否则保持原逻辑计算</t>
  </si>
  <si>
    <t>1.登录dataworks数据中台，执行业务流程，核对数据</t>
  </si>
  <si>
    <t>2月份业务部经理陪访系数计算逻辑调整，计算上月逻辑调整</t>
  </si>
  <si>
    <t>2月份业务部经理陪访系数计算逻辑调整，中台每天跑上月逻辑调整，当月份为202603时，按照新规则计算，否则保持原逻辑计算</t>
  </si>
  <si>
    <t>寿险2021智慧银保销售管理系统-智慧银保</t>
  </si>
  <si>
    <t>汤永东</t>
  </si>
  <si>
    <t>合计缺陷数</t>
  </si>
  <si>
    <t>主要缺陷</t>
  </si>
  <si>
    <t>次要缺陷</t>
  </si>
  <si>
    <t>建议缺陷</t>
  </si>
  <si>
    <t>遗留缺陷</t>
  </si>
  <si>
    <t>缺陷号</t>
  </si>
  <si>
    <t>发现日期</t>
  </si>
  <si>
    <t>测试者</t>
  </si>
  <si>
    <t>缺陷描述</t>
  </si>
  <si>
    <t>重现缺陷操作步骤</t>
  </si>
  <si>
    <t>缺陷等级</t>
  </si>
  <si>
    <t>出现频率</t>
  </si>
  <si>
    <t>状态</t>
  </si>
  <si>
    <t>分析人&amp;日期</t>
  </si>
  <si>
    <t>解决方法</t>
  </si>
  <si>
    <t>解决人</t>
  </si>
  <si>
    <t>解决日期</t>
  </si>
  <si>
    <t>验证人</t>
  </si>
  <si>
    <t>验证日期</t>
  </si>
  <si>
    <t>缺陷所属系统</t>
  </si>
  <si>
    <t>测试用例设计方法</t>
  </si>
  <si>
    <t>1.等价类划分法</t>
  </si>
  <si>
    <t>2.边界值分析法</t>
  </si>
  <si>
    <t>3.错误推测法</t>
  </si>
  <si>
    <t>4.因果图法</t>
  </si>
  <si>
    <t>5.判定表驱动法</t>
  </si>
  <si>
    <t>6.正交试验法</t>
  </si>
  <si>
    <t>7.功能图法</t>
  </si>
  <si>
    <t>8.场景法</t>
  </si>
  <si>
    <t>以上测试用例的设计方法不是单独存在的，以下是各种测试方法的简单说明</t>
  </si>
  <si>
    <t>1.首先进行等价类划分，包括输入条件和输出条件的等价类划分，将无限测试变成有限测试，这是减少工作量和提交测试效率最有效的方法</t>
  </si>
  <si>
    <t>2.在任何情况下都必须使用边界值分析方法，经验证用这种方法设计出的测试用例发现程序错误的能力最强。</t>
  </si>
  <si>
    <t>3.可以用错误推测法追加一些测试用例，这需要依靠测试人员的经验与项目过程中曾经发生过的缺陷经验。</t>
  </si>
  <si>
    <t>4.对照程序逻辑，检查已设计出的测试用例的逻辑覆盖程度。如果没有达到要求的覆盖标准，应当再补充足够的测试用例。</t>
  </si>
  <si>
    <t>5.如果程序的功能说明中含有输入条件的组合情况，则一开始就可选用因果图法和判定表驱动法。</t>
  </si>
  <si>
    <t>6.对于参数类型，要用正交验证法选择较少的组合方式达到最佳效果。</t>
  </si>
  <si>
    <t>7.功能图也是很好的测试用例设计方法，可以通过不同时期条件的有效性设计不同的测试数据。</t>
  </si>
  <si>
    <t>8.对于业务流清晰的系统，可以利用场景法贯穿整个测试案例过程。</t>
  </si>
  <si>
    <t>测试用例编写规范与评审要求</t>
  </si>
  <si>
    <t>清晰性</t>
  </si>
  <si>
    <t>用例的描述需清晰，不含糊</t>
  </si>
  <si>
    <t>对每个业务逻辑进行输入，输出以及过程的详细说明</t>
  </si>
  <si>
    <t>完整性</t>
  </si>
  <si>
    <t>列出用例所必须的前置条件</t>
  </si>
  <si>
    <t>对每个输入数据的预期结果都进行说明</t>
  </si>
  <si>
    <t>用例中详细的分析需求分支（逻辑没有颠倒）</t>
  </si>
  <si>
    <t>用例尽可能考虑异常情况</t>
  </si>
  <si>
    <t>根据需求进行边界条件设计（大于，等于，小于情况）</t>
  </si>
  <si>
    <t>所有需求的业务逻辑都被分解到测试用例中</t>
  </si>
  <si>
    <t>依从性</t>
  </si>
  <si>
    <t>用例是否遵守了用例编写要求</t>
  </si>
  <si>
    <t>一致性</t>
  </si>
  <si>
    <t>确认用例中不存在直接相互矛盾的内容</t>
  </si>
  <si>
    <t>用例编写与需求文档要求保持一致</t>
  </si>
  <si>
    <t>可行性</t>
  </si>
  <si>
    <t>用例设计的所有功能都必要并充分地满足需求内容</t>
  </si>
  <si>
    <t>测试步骤的内容进行详细说明</t>
  </si>
  <si>
    <t>业务流程中已知的限制（局限）进行详细说明</t>
  </si>
  <si>
    <t>确定每个用例的优先级别</t>
  </si>
  <si>
    <t>确认用例中不存在错误的，缺少的或者不完整的逻辑</t>
  </si>
  <si>
    <t>可管理性</t>
  </si>
  <si>
    <t>将用例分别陈述，让用例是独立的并且是可复用的</t>
  </si>
  <si>
    <t>该用例是模块化的</t>
  </si>
  <si>
    <t>可靠性</t>
  </si>
  <si>
    <t>该用例提供正确的业务流程设计</t>
  </si>
  <si>
    <t>用例已考虑非正常情况</t>
  </si>
  <si>
    <t>对所有错误情况都进行了准确的说明</t>
  </si>
  <si>
    <t>可追溯性</t>
  </si>
  <si>
    <t>用例都能追溯到需求文档</t>
  </si>
  <si>
    <t>所有的设计决策都能追溯到原来确定的权衡因素</t>
  </si>
  <si>
    <t>所设计的用例把已知风险都进行确认和分析</t>
  </si>
  <si>
    <t>用例字段编写说明和要求</t>
  </si>
  <si>
    <t>完成情况：</t>
  </si>
  <si>
    <t>测试总结时填写，是否通过，若未通过，需补充失败涉及问题</t>
  </si>
  <si>
    <t>失败涉及问题：</t>
  </si>
  <si>
    <t>填写失败的主要问题</t>
  </si>
  <si>
    <t>用例编号：</t>
  </si>
  <si>
    <t>对该测试用例分配的唯一的编号标识</t>
  </si>
  <si>
    <t>用例级别：</t>
  </si>
  <si>
    <t>表明该用例的重要程度。用例的重要性并不对应用例可能造成的后果，而是对应用例的基本程度。测试用例分为四级：</t>
  </si>
  <si>
    <r>
      <rPr>
        <sz val="11"/>
        <rFont val="宋体"/>
        <charset val="134"/>
      </rPr>
      <t>级别</t>
    </r>
    <r>
      <rPr>
        <sz val="11"/>
        <rFont val="Times New Roman"/>
        <charset val="134"/>
      </rPr>
      <t>1</t>
    </r>
    <r>
      <rPr>
        <sz val="11"/>
        <rFont val="宋体"/>
        <charset val="134"/>
      </rPr>
      <t>：基本。该类用例涉及系统基本功能，用于版本提交时作为“版本通过准则”。如存在不通过的项目时可考虑重新提交版本，该级别用例的数量应受到限制。</t>
    </r>
  </si>
  <si>
    <r>
      <rPr>
        <sz val="11"/>
        <rFont val="宋体"/>
        <charset val="134"/>
      </rPr>
      <t>级别</t>
    </r>
    <r>
      <rPr>
        <sz val="11"/>
        <rFont val="Times New Roman"/>
        <charset val="134"/>
      </rPr>
      <t>2</t>
    </r>
    <r>
      <rPr>
        <sz val="11"/>
        <rFont val="宋体"/>
        <charset val="134"/>
      </rPr>
      <t>：重要。该类用例涉及单个版本特性或某个特定功能</t>
    </r>
  </si>
  <si>
    <r>
      <rPr>
        <sz val="11"/>
        <rFont val="宋体"/>
        <charset val="134"/>
      </rPr>
      <t>级别</t>
    </r>
    <r>
      <rPr>
        <sz val="11"/>
        <rFont val="Times New Roman"/>
        <charset val="134"/>
      </rPr>
      <t>3</t>
    </r>
    <r>
      <rPr>
        <sz val="11"/>
        <rFont val="宋体"/>
        <charset val="134"/>
      </rPr>
      <t>：一般。该类用例仅影响某单项功能的某一细节方面。例如某业务的登记和使用正常，但和另一个新业务发生不应有的冲突。有关性能、极限等方面的测试可归入该级用例。有关用户界面的基本规范等方面的测试可归入该级用例</t>
    </r>
  </si>
  <si>
    <r>
      <rPr>
        <sz val="11"/>
        <rFont val="宋体"/>
        <charset val="134"/>
      </rPr>
      <t>级别</t>
    </r>
    <r>
      <rPr>
        <sz val="11"/>
        <rFont val="Times New Roman"/>
        <charset val="134"/>
      </rPr>
      <t>4</t>
    </r>
    <r>
      <rPr>
        <sz val="11"/>
        <rFont val="宋体"/>
        <charset val="134"/>
      </rPr>
      <t>：生僻。该类用例对应较生僻的预置条件和数据设置。有关用户界面的优化等方面的测试可归入</t>
    </r>
    <r>
      <rPr>
        <sz val="11"/>
        <rFont val="Times New Roman"/>
        <charset val="134"/>
      </rPr>
      <t>4</t>
    </r>
    <r>
      <rPr>
        <sz val="11"/>
        <rFont val="宋体"/>
        <charset val="134"/>
      </rPr>
      <t>级用例</t>
    </r>
  </si>
  <si>
    <t>输入数据：</t>
  </si>
  <si>
    <r>
      <rPr>
        <sz val="11"/>
        <rFont val="宋体"/>
        <charset val="134"/>
      </rPr>
      <t>具体的输入值，包括各输入值的先后关系等。</t>
    </r>
    <r>
      <rPr>
        <sz val="11"/>
        <rFont val="Times New Roman"/>
        <charset val="134"/>
      </rPr>
      <t xml:space="preserve"> </t>
    </r>
  </si>
  <si>
    <t>预期结果：</t>
  </si>
  <si>
    <t>预期输出值，如需要也要列出描述预期输出数值的容许范围和结果</t>
  </si>
  <si>
    <t>实际结果：</t>
  </si>
  <si>
    <r>
      <rPr>
        <sz val="11"/>
        <rFont val="宋体"/>
        <charset val="134"/>
      </rPr>
      <t>不能简单的填写</t>
    </r>
    <r>
      <rPr>
        <sz val="11"/>
        <rFont val="Times New Roman"/>
        <charset val="134"/>
      </rPr>
      <t xml:space="preserve"> </t>
    </r>
    <r>
      <rPr>
        <sz val="11"/>
        <rFont val="宋体"/>
        <charset val="134"/>
      </rPr>
      <t>通过，未通过。测试人员应该填写实际测试中得到的结果</t>
    </r>
  </si>
  <si>
    <t>预置条件：</t>
  </si>
  <si>
    <t>执行本用例前，被测试对象所需具备的预置数据，所处状态或入口条件等要求</t>
  </si>
  <si>
    <t>用例内容：</t>
  </si>
  <si>
    <t>相同的操作不需要反复编写（例如生成保单等）</t>
  </si>
  <si>
    <t>如果在条件相同，并且没有特殊操作的情况下没有必要重复编写用例</t>
  </si>
  <si>
    <t>前置条件：</t>
  </si>
  <si>
    <r>
      <rPr>
        <sz val="11"/>
        <rFont val="宋体"/>
        <charset val="134"/>
      </rPr>
      <t>在</t>
    </r>
    <r>
      <rPr>
        <sz val="11"/>
        <rFont val="宋体"/>
        <charset val="134"/>
      </rPr>
      <t>编写测试用例无需从新保的用例开始编写一直到该测试点，只需要在编写测试点的描述或者前置条件中写明保单的特殊性（例如：保单号，保单状态，险种类型等）</t>
    </r>
  </si>
  <si>
    <t>执行步骤：</t>
  </si>
  <si>
    <t>清楚写明用例的执行步骤，特殊数据需要添加说明</t>
  </si>
  <si>
    <t>用例执行：</t>
  </si>
  <si>
    <r>
      <rPr>
        <sz val="11"/>
        <rFont val="Times New Roman"/>
        <charset val="134"/>
      </rPr>
      <t xml:space="preserve">  </t>
    </r>
    <r>
      <rPr>
        <sz val="11"/>
        <rFont val="宋体"/>
        <charset val="134"/>
      </rPr>
      <t>用例具体描述行中必须按实际情况填写每项内容，当无此项内容时需填写“无”，不要空白显示</t>
    </r>
  </si>
  <si>
    <t>缺陷严重程度：</t>
  </si>
  <si>
    <t>内容</t>
  </si>
  <si>
    <t>具体描述（包括但不仅限于）</t>
  </si>
  <si>
    <t>6-崩溃性缺陷</t>
  </si>
  <si>
    <t>不能执行正常工作功能或重要功能。使系统崩溃或资源严重不足。
l、由于程序所引起的死机，非法退出，操作系统无法正常运作等
2、因错误操作导致客户端/服务器崩溃
3、死循环
4、数据库发生死锁或与数据库连接错误
5、错误操作份致的程序中断
6、严重的计算错误
7、数据通讯错误</t>
  </si>
  <si>
    <t>5-严重缺陷</t>
  </si>
  <si>
    <t xml:space="preserve">严重地影响系统要求或基本功能的实现，且没有办法更正。（重新安
装或重新启动该软件不属于更正办法）
1、因错误操作导致的程序中断或退出
2、由于程序问题所引起非法退出
3、关键业务对应的功能未实现程序错误或功能实现错误
4、非关键业务对应的功能未实现或实现错误
5、程序接口错误
6、数据流错误
7、轻微数据计算错误
</t>
  </si>
  <si>
    <t>4-一般性缺陷</t>
  </si>
  <si>
    <t>程序的主要功能运行基本正常，但是存在一些需求、设计或实现上的
问题或次要功能运行不正常。（重新安装或重新启动该软件不属于改
正办法）
l、界面错误（附详细说明）
2、打印内容、格式错误
3、查询错误，数据错误显示；
4、数据库的表、业务规则、缺省值未加完整性等约柬条件
5、基本的输入限制未放在前台进行控制
6、数据输入没有边界值限定或不合理
7、删除操作未给出提示
8、系统风格不一致（指程序逻轨实现）
9、提示信息内容不准确（和实际操作内容不一致）
10、操作界面错误或不规范（包括数据窗口内列名定义、含义不一致）</t>
  </si>
  <si>
    <t>3-轻微缺陷</t>
  </si>
  <si>
    <t xml:space="preserve">使操作者不方便或遇到麻烦，但不形响执行工作或功能实现的轻微问
题：
l、显示格式不规范
2、系统处理未优化
3、长操作未给用户提示（或长操作结束后提示没有消失）
4、可输入区域和只读区域没有明显的区分标志
5、在功能实现方式上如果需求中没有明确定义，而没有按常规实现，
并且不比常规方式实现优越的（如用户名第一位用数字或特殊字符）
</t>
  </si>
  <si>
    <t>2-文字错误</t>
  </si>
  <si>
    <t>界面显示上不美观，不符合用户习惯，或是一些文字的不规范、错误，
产品及属性仍可使用，对功能几乎没有影响的微小问题。
l、辅助说明描述不清楚或未使用行业术语
2、输入输出不规范或界面存在文字错误，但不会误导用户或影响系
统功能实现</t>
  </si>
  <si>
    <t>1-建议性缺陷</t>
  </si>
  <si>
    <t xml:space="preserve">改进建议。
不影响业务，不影响使用的瑕疵或更好的实现（如用户友好性）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</si>
</sst>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0">
    <font>
      <sz val="11"/>
      <color theme="1"/>
      <name val="宋体"/>
      <charset val="134"/>
      <scheme val="minor"/>
    </font>
    <font>
      <sz val="10"/>
      <name val="Arial"/>
      <charset val="134"/>
    </font>
    <font>
      <b/>
      <sz val="12"/>
      <name val="微软雅黑"/>
      <charset val="134"/>
    </font>
    <font>
      <b/>
      <sz val="10"/>
      <name val="微软雅黑"/>
      <charset val="134"/>
    </font>
    <font>
      <sz val="10.5"/>
      <name val="Calibri"/>
      <charset val="134"/>
    </font>
    <font>
      <sz val="10"/>
      <name val="宋体"/>
      <charset val="134"/>
    </font>
    <font>
      <sz val="12"/>
      <name val="宋体"/>
      <charset val="134"/>
    </font>
    <font>
      <sz val="10"/>
      <name val="Wingdings"/>
      <charset val="2"/>
    </font>
    <font>
      <sz val="10"/>
      <color indexed="8"/>
      <name val="宋体"/>
      <charset val="134"/>
    </font>
    <font>
      <sz val="10"/>
      <color indexed="8"/>
      <name val="Wingdings"/>
      <charset val="2"/>
    </font>
    <font>
      <b/>
      <sz val="12"/>
      <name val="宋体"/>
      <charset val="134"/>
    </font>
    <font>
      <b/>
      <sz val="11"/>
      <name val="宋体"/>
      <charset val="134"/>
    </font>
    <font>
      <sz val="11"/>
      <name val="宋体"/>
      <charset val="134"/>
    </font>
    <font>
      <sz val="10.5"/>
      <name val="宋体"/>
      <charset val="134"/>
    </font>
    <font>
      <sz val="11"/>
      <name val="Times New Roman"/>
      <charset val="134"/>
    </font>
    <font>
      <i/>
      <sz val="10"/>
      <color rgb="FF002060"/>
      <name val="宋体"/>
      <charset val="134"/>
    </font>
    <font>
      <i/>
      <sz val="10"/>
      <color rgb="FF0070C0"/>
      <name val="宋体"/>
      <charset val="134"/>
    </font>
    <font>
      <b/>
      <sz val="11"/>
      <name val="微软雅黑"/>
      <charset val="134"/>
    </font>
    <font>
      <sz val="10"/>
      <color theme="1"/>
      <name val="宋体"/>
      <charset val="134"/>
      <scheme val="minor"/>
    </font>
    <font>
      <sz val="10"/>
      <name val="黑体"/>
      <charset val="134"/>
    </font>
    <font>
      <b/>
      <sz val="10"/>
      <color theme="1"/>
      <name val="微软雅黑"/>
      <charset val="134"/>
    </font>
    <font>
      <sz val="10"/>
      <color theme="1"/>
      <name val="宋体"/>
      <charset val="134"/>
    </font>
    <font>
      <sz val="11"/>
      <name val="Arial"/>
      <charset val="134"/>
    </font>
    <font>
      <sz val="11"/>
      <color theme="1"/>
      <name val="宋体"/>
      <charset val="134"/>
    </font>
    <font>
      <b/>
      <sz val="11"/>
      <color theme="1"/>
      <name val="微软雅黑"/>
      <charset val="134"/>
    </font>
    <font>
      <b/>
      <sz val="10"/>
      <name val="宋体"/>
      <charset val="134"/>
    </font>
    <font>
      <b/>
      <sz val="30"/>
      <color theme="1"/>
      <name val="宋体"/>
      <charset val="134"/>
      <scheme val="minor"/>
    </font>
    <font>
      <b/>
      <sz val="14"/>
      <color theme="1"/>
      <name val="宋体"/>
      <charset val="134"/>
    </font>
    <font>
      <i/>
      <sz val="11"/>
      <color rgb="FF0070C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
      <charset val="134"/>
    </font>
    <font>
      <sz val="11"/>
      <color indexed="8"/>
      <name val="宋体"/>
      <charset val="134"/>
    </font>
  </fonts>
  <fills count="38">
    <fill>
      <patternFill patternType="none"/>
    </fill>
    <fill>
      <patternFill patternType="gray125"/>
    </fill>
    <fill>
      <patternFill patternType="solid">
        <fgColor theme="0" tint="-0.149906918546098"/>
        <bgColor indexed="64"/>
      </patternFill>
    </fill>
    <fill>
      <patternFill patternType="solid">
        <fgColor indexed="9"/>
        <bgColor indexed="64"/>
      </patternFill>
    </fill>
    <fill>
      <patternFill patternType="solid">
        <fgColor theme="0"/>
        <bgColor indexed="64"/>
      </patternFill>
    </fill>
    <fill>
      <patternFill patternType="solid">
        <fgColor theme="0" tint="-0.249977111117893"/>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9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7" borderId="18"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19" applyNumberFormat="0" applyFill="0" applyAlignment="0" applyProtection="0">
      <alignment vertical="center"/>
    </xf>
    <xf numFmtId="0" fontId="35" fillId="0" borderId="19" applyNumberFormat="0" applyFill="0" applyAlignment="0" applyProtection="0">
      <alignment vertical="center"/>
    </xf>
    <xf numFmtId="0" fontId="36" fillId="0" borderId="20" applyNumberFormat="0" applyFill="0" applyAlignment="0" applyProtection="0">
      <alignment vertical="center"/>
    </xf>
    <xf numFmtId="0" fontId="36" fillId="0" borderId="0" applyNumberFormat="0" applyFill="0" applyBorder="0" applyAlignment="0" applyProtection="0">
      <alignment vertical="center"/>
    </xf>
    <xf numFmtId="0" fontId="37" fillId="8" borderId="21" applyNumberFormat="0" applyAlignment="0" applyProtection="0">
      <alignment vertical="center"/>
    </xf>
    <xf numFmtId="0" fontId="38" fillId="9" borderId="22" applyNumberFormat="0" applyAlignment="0" applyProtection="0">
      <alignment vertical="center"/>
    </xf>
    <xf numFmtId="0" fontId="39" fillId="9" borderId="21" applyNumberFormat="0" applyAlignment="0" applyProtection="0">
      <alignment vertical="center"/>
    </xf>
    <xf numFmtId="0" fontId="40" fillId="10" borderId="23" applyNumberFormat="0" applyAlignment="0" applyProtection="0">
      <alignment vertical="center"/>
    </xf>
    <xf numFmtId="0" fontId="41" fillId="0" borderId="24" applyNumberFormat="0" applyFill="0" applyAlignment="0" applyProtection="0">
      <alignment vertical="center"/>
    </xf>
    <xf numFmtId="0" fontId="42" fillId="0" borderId="25" applyNumberFormat="0" applyFill="0" applyAlignment="0" applyProtection="0">
      <alignment vertical="center"/>
    </xf>
    <xf numFmtId="0" fontId="43" fillId="11" borderId="0" applyNumberFormat="0" applyBorder="0" applyAlignment="0" applyProtection="0">
      <alignment vertical="center"/>
    </xf>
    <xf numFmtId="0" fontId="44" fillId="12" borderId="0" applyNumberFormat="0" applyBorder="0" applyAlignment="0" applyProtection="0">
      <alignment vertical="center"/>
    </xf>
    <xf numFmtId="0" fontId="45" fillId="13" borderId="0" applyNumberFormat="0" applyBorder="0" applyAlignment="0" applyProtection="0">
      <alignment vertical="center"/>
    </xf>
    <xf numFmtId="0" fontId="46" fillId="14"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6" fillId="17" borderId="0" applyNumberFormat="0" applyBorder="0" applyAlignment="0" applyProtection="0">
      <alignment vertical="center"/>
    </xf>
    <xf numFmtId="0" fontId="46" fillId="18"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6" fillId="21" borderId="0" applyNumberFormat="0" applyBorder="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6" fillId="29" borderId="0" applyNumberFormat="0" applyBorder="0" applyAlignment="0" applyProtection="0">
      <alignment vertical="center"/>
    </xf>
    <xf numFmtId="0" fontId="46"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7" fillId="35" borderId="0" applyNumberFormat="0" applyBorder="0" applyAlignment="0" applyProtection="0">
      <alignment vertical="center"/>
    </xf>
    <xf numFmtId="0" fontId="47" fillId="36" borderId="0" applyNumberFormat="0" applyBorder="0" applyAlignment="0" applyProtection="0">
      <alignment vertical="center"/>
    </xf>
    <xf numFmtId="0" fontId="46" fillId="37" borderId="0" applyNumberFormat="0" applyBorder="0" applyAlignment="0" applyProtection="0">
      <alignment vertical="center"/>
    </xf>
    <xf numFmtId="0" fontId="48" fillId="0" borderId="0"/>
    <xf numFmtId="0" fontId="49" fillId="0" borderId="0"/>
    <xf numFmtId="0" fontId="49" fillId="0" borderId="0"/>
    <xf numFmtId="0" fontId="49" fillId="0" borderId="0"/>
    <xf numFmtId="9" fontId="6" fillId="0" borderId="0" applyFont="0" applyFill="0" applyBorder="0" applyAlignment="0" applyProtection="0">
      <alignment vertical="center"/>
    </xf>
    <xf numFmtId="0" fontId="0" fillId="0" borderId="0">
      <alignment vertical="center"/>
    </xf>
    <xf numFmtId="0" fontId="6" fillId="0" borderId="0"/>
    <xf numFmtId="0" fontId="6"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alignment vertical="center"/>
    </xf>
    <xf numFmtId="0" fontId="6" fillId="0" borderId="0">
      <alignment vertical="center"/>
    </xf>
    <xf numFmtId="0" fontId="6" fillId="0" borderId="0"/>
    <xf numFmtId="0" fontId="0"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0" fillId="0" borderId="0">
      <alignment vertical="center"/>
    </xf>
    <xf numFmtId="0" fontId="6" fillId="0" borderId="0"/>
    <xf numFmtId="0" fontId="6" fillId="0" borderId="0"/>
    <xf numFmtId="0" fontId="0" fillId="0" borderId="0">
      <alignment vertical="center"/>
    </xf>
    <xf numFmtId="0" fontId="0" fillId="0" borderId="0">
      <alignment vertical="center"/>
    </xf>
    <xf numFmtId="0" fontId="0" fillId="0" borderId="0">
      <alignment vertical="center"/>
    </xf>
    <xf numFmtId="0" fontId="6" fillId="0" borderId="0"/>
    <xf numFmtId="0" fontId="0" fillId="0" borderId="0">
      <alignment vertical="center"/>
    </xf>
    <xf numFmtId="0" fontId="6" fillId="0" borderId="0"/>
    <xf numFmtId="0" fontId="6"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xf numFmtId="0" fontId="6" fillId="0" borderId="0"/>
    <xf numFmtId="0" fontId="6" fillId="0" borderId="0"/>
  </cellStyleXfs>
  <cellXfs count="105">
    <xf numFmtId="0" fontId="0" fillId="0" borderId="0" xfId="0">
      <alignment vertical="center"/>
    </xf>
    <xf numFmtId="0" fontId="1" fillId="0" borderId="0" xfId="55" applyFont="1"/>
    <xf numFmtId="0" fontId="2" fillId="0" borderId="0" xfId="55" applyFont="1" applyAlignment="1">
      <alignment horizontal="justify" vertical="center" wrapText="1"/>
    </xf>
    <xf numFmtId="0" fontId="2" fillId="0" borderId="0" xfId="55" applyFont="1" applyAlignment="1">
      <alignment vertical="center" wrapText="1"/>
    </xf>
    <xf numFmtId="0" fontId="3" fillId="2" borderId="1" xfId="92" applyFont="1" applyFill="1" applyBorder="1" applyAlignment="1">
      <alignment horizontal="center" vertical="top" wrapText="1"/>
    </xf>
    <xf numFmtId="0" fontId="4" fillId="0" borderId="0" xfId="55" applyFont="1" applyAlignment="1">
      <alignment vertical="center"/>
    </xf>
    <xf numFmtId="0" fontId="5" fillId="0" borderId="1" xfId="92" applyFont="1" applyBorder="1" applyAlignment="1">
      <alignment horizontal="center" vertical="center" wrapText="1"/>
    </xf>
    <xf numFmtId="0" fontId="5" fillId="0" borderId="1" xfId="92" applyFont="1" applyBorder="1" applyAlignment="1">
      <alignment horizontal="left" vertical="top" wrapText="1"/>
    </xf>
    <xf numFmtId="0" fontId="6" fillId="0" borderId="1" xfId="92" applyBorder="1" applyAlignment="1">
      <alignment horizontal="center" vertical="center" wrapText="1"/>
    </xf>
    <xf numFmtId="0" fontId="7" fillId="0" borderId="1" xfId="92" applyFont="1" applyBorder="1" applyAlignment="1">
      <alignment horizontal="left" vertical="top" wrapText="1"/>
    </xf>
    <xf numFmtId="0" fontId="8" fillId="0" borderId="1" xfId="92" applyFont="1" applyBorder="1" applyAlignment="1">
      <alignment horizontal="left" vertical="top" wrapText="1"/>
    </xf>
    <xf numFmtId="0" fontId="9" fillId="0" borderId="1" xfId="92" applyFont="1" applyBorder="1" applyAlignment="1">
      <alignment horizontal="left" vertical="top" wrapText="1"/>
    </xf>
    <xf numFmtId="0" fontId="6" fillId="0" borderId="0" xfId="55"/>
    <xf numFmtId="0" fontId="10" fillId="0" borderId="0" xfId="55" applyFont="1"/>
    <xf numFmtId="0" fontId="11" fillId="0" borderId="0" xfId="55" applyFont="1"/>
    <xf numFmtId="0" fontId="12" fillId="0" borderId="0" xfId="55" applyFont="1"/>
    <xf numFmtId="0" fontId="11" fillId="0" borderId="0" xfId="55" applyFont="1" applyAlignment="1">
      <alignment horizontal="justify"/>
    </xf>
    <xf numFmtId="0" fontId="13" fillId="0" borderId="0" xfId="55" applyFont="1" applyAlignment="1">
      <alignment horizontal="justify"/>
    </xf>
    <xf numFmtId="0" fontId="14" fillId="0" borderId="0" xfId="55" applyFont="1" applyAlignment="1">
      <alignment horizontal="justify"/>
    </xf>
    <xf numFmtId="0" fontId="12" fillId="0" borderId="0" xfId="55" applyFont="1" applyAlignment="1">
      <alignment vertical="center"/>
    </xf>
    <xf numFmtId="0" fontId="11" fillId="0" borderId="0" xfId="55" applyFont="1" applyAlignment="1">
      <alignment vertical="center"/>
    </xf>
    <xf numFmtId="0" fontId="14" fillId="0" borderId="0" xfId="55" applyFont="1" applyAlignment="1">
      <alignment vertical="center"/>
    </xf>
    <xf numFmtId="0" fontId="13" fillId="0" borderId="0" xfId="55" applyFont="1" applyAlignment="1">
      <alignment vertical="center"/>
    </xf>
    <xf numFmtId="0" fontId="5" fillId="3" borderId="0" xfId="55" applyFont="1" applyFill="1" applyAlignment="1">
      <alignment vertical="center" wrapText="1"/>
    </xf>
    <xf numFmtId="0" fontId="12" fillId="3" borderId="0" xfId="91" applyFont="1" applyFill="1" applyAlignment="1">
      <alignment horizontal="center" vertical="center" wrapText="1"/>
    </xf>
    <xf numFmtId="0" fontId="5" fillId="3" borderId="0" xfId="91" applyFont="1" applyFill="1" applyAlignment="1">
      <alignment vertical="center" wrapText="1"/>
    </xf>
    <xf numFmtId="0" fontId="5" fillId="3" borderId="0" xfId="91" applyFont="1" applyFill="1" applyAlignment="1">
      <alignment horizontal="center" vertical="center" wrapText="1"/>
    </xf>
    <xf numFmtId="0" fontId="12" fillId="3" borderId="1" xfId="55" applyFont="1" applyFill="1" applyBorder="1" applyAlignment="1">
      <alignment vertical="center" wrapText="1"/>
    </xf>
    <xf numFmtId="0" fontId="15" fillId="3" borderId="2" xfId="55" applyFont="1" applyFill="1" applyBorder="1" applyAlignment="1">
      <alignment horizontal="left" vertical="center" wrapText="1"/>
    </xf>
    <xf numFmtId="0" fontId="15" fillId="3" borderId="3" xfId="55" applyFont="1" applyFill="1" applyBorder="1" applyAlignment="1">
      <alignment horizontal="left" vertical="center" wrapText="1"/>
    </xf>
    <xf numFmtId="0" fontId="5" fillId="3" borderId="0" xfId="55" applyFont="1" applyFill="1" applyAlignment="1">
      <alignment horizontal="center" vertical="center" wrapText="1"/>
    </xf>
    <xf numFmtId="0" fontId="16" fillId="3" borderId="1" xfId="55" applyFont="1" applyFill="1" applyBorder="1" applyAlignment="1">
      <alignment horizontal="left" vertical="center" wrapText="1"/>
    </xf>
    <xf numFmtId="0" fontId="5" fillId="3" borderId="0" xfId="55" applyFont="1" applyFill="1" applyAlignment="1">
      <alignment horizontal="left" vertical="center" wrapText="1"/>
    </xf>
    <xf numFmtId="0" fontId="11" fillId="4" borderId="1" xfId="55" applyFont="1" applyFill="1" applyBorder="1" applyAlignment="1">
      <alignment vertical="center" wrapText="1"/>
    </xf>
    <xf numFmtId="0" fontId="11" fillId="4" borderId="4" xfId="55" applyFont="1" applyFill="1" applyBorder="1" applyAlignment="1">
      <alignment vertical="center" wrapText="1"/>
    </xf>
    <xf numFmtId="0" fontId="16" fillId="3" borderId="4" xfId="55" applyFont="1" applyFill="1" applyBorder="1" applyAlignment="1">
      <alignment horizontal="left" vertical="center" wrapText="1"/>
    </xf>
    <xf numFmtId="0" fontId="17" fillId="5" borderId="1" xfId="55" applyFont="1" applyFill="1" applyBorder="1" applyAlignment="1">
      <alignment horizontal="center" vertical="center" wrapText="1"/>
    </xf>
    <xf numFmtId="0" fontId="5" fillId="3" borderId="1" xfId="91" applyFont="1" applyFill="1" applyBorder="1" applyAlignment="1">
      <alignment vertical="center" wrapText="1"/>
    </xf>
    <xf numFmtId="0" fontId="5" fillId="3" borderId="1" xfId="91" applyFont="1" applyFill="1" applyBorder="1" applyAlignment="1">
      <alignment horizontal="center" vertical="center" wrapText="1"/>
    </xf>
    <xf numFmtId="0" fontId="5" fillId="3" borderId="1" xfId="55" applyFont="1" applyFill="1" applyBorder="1" applyAlignment="1">
      <alignment horizontal="center" vertical="center" wrapText="1"/>
    </xf>
    <xf numFmtId="14" fontId="5" fillId="0" borderId="5" xfId="55" applyNumberFormat="1" applyFont="1" applyBorder="1" applyAlignment="1">
      <alignment horizontal="center" vertical="center" wrapText="1"/>
    </xf>
    <xf numFmtId="0" fontId="5" fillId="3" borderId="1" xfId="55" applyFont="1" applyFill="1" applyBorder="1" applyAlignment="1">
      <alignment vertical="center" wrapText="1"/>
    </xf>
    <xf numFmtId="14" fontId="5" fillId="3" borderId="1" xfId="55" applyNumberFormat="1" applyFont="1" applyFill="1" applyBorder="1" applyAlignment="1">
      <alignment horizontal="center" vertical="center" wrapText="1"/>
    </xf>
    <xf numFmtId="0" fontId="18" fillId="0" borderId="1" xfId="0" applyFont="1" applyBorder="1" applyAlignment="1">
      <alignment vertical="center" wrapText="1"/>
    </xf>
    <xf numFmtId="0" fontId="18" fillId="0" borderId="0" xfId="0" applyFont="1" applyAlignment="1">
      <alignment vertical="center" wrapText="1"/>
    </xf>
    <xf numFmtId="0" fontId="19" fillId="3" borderId="1" xfId="55" applyFont="1" applyFill="1" applyBorder="1" applyAlignment="1">
      <alignment horizontal="left" vertical="center" wrapText="1"/>
    </xf>
    <xf numFmtId="0" fontId="15" fillId="3" borderId="1" xfId="55" applyFont="1" applyFill="1" applyBorder="1" applyAlignment="1">
      <alignment horizontal="left" vertical="center" wrapText="1"/>
    </xf>
    <xf numFmtId="0" fontId="20" fillId="6" borderId="0" xfId="93" applyFont="1" applyFill="1" applyAlignment="1">
      <alignment horizontal="center" vertical="center" wrapText="1"/>
    </xf>
    <xf numFmtId="0" fontId="18" fillId="0" borderId="1" xfId="0" applyFont="1" applyBorder="1" applyAlignment="1">
      <alignment horizontal="center" vertical="center" wrapText="1"/>
    </xf>
    <xf numFmtId="0" fontId="5" fillId="0" borderId="1" xfId="0" applyFont="1" applyBorder="1" applyAlignment="1">
      <alignment horizontal="left" vertical="center" wrapText="1"/>
    </xf>
    <xf numFmtId="0" fontId="21" fillId="0" borderId="1" xfId="0" applyFont="1" applyBorder="1" applyAlignment="1">
      <alignment vertical="center" wrapText="1"/>
    </xf>
    <xf numFmtId="0" fontId="20" fillId="6" borderId="0" xfId="55" applyFont="1" applyFill="1" applyAlignment="1">
      <alignment horizontal="center" vertical="center" wrapText="1"/>
    </xf>
    <xf numFmtId="0" fontId="21" fillId="0" borderId="1" xfId="0" applyFont="1" applyBorder="1" applyAlignment="1">
      <alignment horizontal="left" vertical="center" wrapText="1"/>
    </xf>
    <xf numFmtId="14" fontId="21" fillId="0" borderId="1" xfId="0" applyNumberFormat="1" applyFont="1" applyBorder="1" applyAlignment="1">
      <alignment horizontal="left" vertical="center" wrapText="1"/>
    </xf>
    <xf numFmtId="0" fontId="22" fillId="0" borderId="0" xfId="55" applyFont="1"/>
    <xf numFmtId="0" fontId="5" fillId="0" borderId="0" xfId="55" applyFont="1" applyAlignment="1">
      <alignment horizontal="center" vertical="center"/>
    </xf>
    <xf numFmtId="0" fontId="5" fillId="0" borderId="0" xfId="55" applyFont="1" applyAlignment="1">
      <alignment vertical="center"/>
    </xf>
    <xf numFmtId="0" fontId="5" fillId="0" borderId="0" xfId="55" applyFont="1"/>
    <xf numFmtId="0" fontId="12" fillId="0" borderId="0" xfId="55" applyFont="1" applyAlignment="1">
      <alignment horizontal="center"/>
    </xf>
    <xf numFmtId="0" fontId="2" fillId="3" borderId="6" xfId="55" applyFont="1" applyFill="1" applyBorder="1" applyAlignment="1">
      <alignment horizontal="center" vertical="center"/>
    </xf>
    <xf numFmtId="0" fontId="2" fillId="3" borderId="0" xfId="55" applyFont="1" applyFill="1" applyAlignment="1">
      <alignment horizontal="center" vertical="center"/>
    </xf>
    <xf numFmtId="0" fontId="12" fillId="3" borderId="7" xfId="55" applyFont="1" applyFill="1" applyBorder="1" applyAlignment="1">
      <alignment vertical="center"/>
    </xf>
    <xf numFmtId="0" fontId="16" fillId="3" borderId="1" xfId="55" applyFont="1" applyFill="1" applyBorder="1" applyAlignment="1">
      <alignment horizontal="left" vertical="center"/>
    </xf>
    <xf numFmtId="0" fontId="16" fillId="3" borderId="2" xfId="55" applyFont="1" applyFill="1" applyBorder="1" applyAlignment="1">
      <alignment horizontal="left" vertical="center"/>
    </xf>
    <xf numFmtId="0" fontId="16" fillId="3" borderId="3" xfId="55" applyFont="1" applyFill="1" applyBorder="1" applyAlignment="1">
      <alignment horizontal="left" vertical="center"/>
    </xf>
    <xf numFmtId="0" fontId="23" fillId="3" borderId="7" xfId="55" applyFont="1" applyFill="1" applyBorder="1" applyAlignment="1">
      <alignment vertical="center"/>
    </xf>
    <xf numFmtId="0" fontId="17" fillId="5" borderId="7" xfId="55" applyFont="1" applyFill="1" applyBorder="1" applyAlignment="1">
      <alignment horizontal="center" vertical="center"/>
    </xf>
    <xf numFmtId="0" fontId="17" fillId="5" borderId="1" xfId="55" applyFont="1" applyFill="1" applyBorder="1" applyAlignment="1">
      <alignment horizontal="center" vertical="center"/>
    </xf>
    <xf numFmtId="0" fontId="24" fillId="5" borderId="1" xfId="55" applyFont="1" applyFill="1" applyBorder="1" applyAlignment="1">
      <alignment horizontal="center" vertical="center"/>
    </xf>
    <xf numFmtId="0" fontId="16" fillId="0" borderId="1" xfId="56" applyFont="1" applyBorder="1" applyAlignment="1">
      <alignment horizontal="center" vertical="center" wrapText="1"/>
    </xf>
    <xf numFmtId="0" fontId="16" fillId="0" borderId="1" xfId="56" applyFont="1" applyBorder="1" applyAlignment="1">
      <alignment horizontal="left" vertical="top" wrapText="1"/>
    </xf>
    <xf numFmtId="0" fontId="16" fillId="0" borderId="1" xfId="55" applyFont="1" applyBorder="1" applyAlignment="1">
      <alignment horizontal="center" vertical="center"/>
    </xf>
    <xf numFmtId="0" fontId="25" fillId="0" borderId="1" xfId="55" applyFont="1" applyBorder="1" applyAlignment="1">
      <alignment horizontal="center"/>
    </xf>
    <xf numFmtId="0" fontId="5" fillId="0" borderId="1" xfId="55" applyFont="1" applyBorder="1"/>
    <xf numFmtId="0" fontId="5" fillId="0" borderId="1" xfId="55" applyFont="1" applyBorder="1" applyAlignment="1">
      <alignment horizontal="center"/>
    </xf>
    <xf numFmtId="0" fontId="5" fillId="0" borderId="7" xfId="55" applyFont="1" applyBorder="1" applyAlignment="1">
      <alignment horizontal="center"/>
    </xf>
    <xf numFmtId="0" fontId="12" fillId="0" borderId="8" xfId="55" applyFont="1" applyBorder="1" applyAlignment="1">
      <alignment horizontal="center"/>
    </xf>
    <xf numFmtId="0" fontId="12" fillId="0" borderId="9" xfId="55" applyFont="1" applyBorder="1"/>
    <xf numFmtId="0" fontId="12" fillId="0" borderId="9" xfId="55" applyFont="1" applyBorder="1" applyAlignment="1">
      <alignment horizontal="center"/>
    </xf>
    <xf numFmtId="0" fontId="2" fillId="3" borderId="10" xfId="55" applyFont="1" applyFill="1" applyBorder="1" applyAlignment="1">
      <alignment horizontal="center" vertical="center"/>
    </xf>
    <xf numFmtId="0" fontId="16" fillId="3" borderId="11" xfId="55" applyFont="1" applyFill="1" applyBorder="1" applyAlignment="1">
      <alignment horizontal="left" vertical="center"/>
    </xf>
    <xf numFmtId="0" fontId="16" fillId="3" borderId="12" xfId="55" applyFont="1" applyFill="1" applyBorder="1" applyAlignment="1">
      <alignment horizontal="left" vertical="center"/>
    </xf>
    <xf numFmtId="0" fontId="17" fillId="5" borderId="2" xfId="55" applyFont="1" applyFill="1" applyBorder="1" applyAlignment="1">
      <alignment horizontal="center" vertical="center"/>
    </xf>
    <xf numFmtId="0" fontId="17" fillId="5" borderId="11" xfId="55" applyFont="1" applyFill="1" applyBorder="1" applyAlignment="1">
      <alignment horizontal="center" vertical="center"/>
    </xf>
    <xf numFmtId="9" fontId="16" fillId="0" borderId="2" xfId="55" applyNumberFormat="1" applyFont="1" applyBorder="1" applyAlignment="1">
      <alignment horizontal="center" vertical="center"/>
    </xf>
    <xf numFmtId="0" fontId="16" fillId="0" borderId="11" xfId="55" applyFont="1" applyBorder="1" applyAlignment="1">
      <alignment horizontal="center" vertical="center"/>
    </xf>
    <xf numFmtId="0" fontId="5" fillId="0" borderId="2" xfId="55" applyFont="1" applyBorder="1" applyAlignment="1">
      <alignment horizontal="center"/>
    </xf>
    <xf numFmtId="0" fontId="5" fillId="0" borderId="11" xfId="55" applyFont="1" applyBorder="1" applyAlignment="1">
      <alignment horizontal="center"/>
    </xf>
    <xf numFmtId="0" fontId="12" fillId="0" borderId="13" xfId="55" applyFont="1" applyBorder="1" applyAlignment="1">
      <alignment horizontal="center"/>
    </xf>
    <xf numFmtId="0" fontId="12" fillId="0" borderId="14" xfId="55" applyFont="1" applyBorder="1" applyAlignment="1">
      <alignment horizontal="center"/>
    </xf>
    <xf numFmtId="0" fontId="26" fillId="0" borderId="0" xfId="0" applyFont="1" applyAlignment="1">
      <alignment horizontal="center" vertical="center"/>
    </xf>
    <xf numFmtId="0" fontId="0" fillId="0" borderId="0" xfId="0" applyAlignment="1">
      <alignment horizontal="center" vertical="center"/>
    </xf>
    <xf numFmtId="0" fontId="27" fillId="0" borderId="15" xfId="0" applyFont="1" applyBorder="1" applyAlignment="1">
      <alignment horizontal="center" vertical="center" wrapText="1"/>
    </xf>
    <xf numFmtId="0" fontId="27" fillId="0" borderId="16" xfId="0" applyFont="1" applyBorder="1" applyAlignment="1">
      <alignment horizontal="center" vertical="center" wrapText="1"/>
    </xf>
    <xf numFmtId="0" fontId="27" fillId="0" borderId="17" xfId="0" applyFont="1" applyBorder="1" applyAlignment="1">
      <alignment horizontal="center" vertical="center" wrapText="1"/>
    </xf>
    <xf numFmtId="0" fontId="28" fillId="0" borderId="7" xfId="0" applyFont="1" applyBorder="1" applyAlignment="1">
      <alignment horizontal="center" vertical="center"/>
    </xf>
    <xf numFmtId="14" fontId="28" fillId="0" borderId="1" xfId="0" applyNumberFormat="1" applyFont="1" applyBorder="1" applyAlignment="1">
      <alignment horizontal="center" vertical="center"/>
    </xf>
    <xf numFmtId="0" fontId="28" fillId="0" borderId="1" xfId="0" applyFont="1" applyBorder="1" applyAlignment="1">
      <alignment horizontal="center" vertical="center"/>
    </xf>
    <xf numFmtId="0" fontId="28" fillId="0" borderId="11" xfId="0" applyFont="1" applyBorder="1">
      <alignment vertical="center"/>
    </xf>
    <xf numFmtId="0" fontId="0" fillId="0" borderId="7" xfId="0" applyBorder="1">
      <alignment vertical="center"/>
    </xf>
    <xf numFmtId="0" fontId="0" fillId="0" borderId="1" xfId="0" applyBorder="1">
      <alignment vertical="center"/>
    </xf>
    <xf numFmtId="0" fontId="0" fillId="0" borderId="11" xfId="0" applyBorder="1">
      <alignment vertical="center"/>
    </xf>
    <xf numFmtId="0" fontId="0" fillId="0" borderId="8" xfId="0" applyBorder="1">
      <alignment vertical="center"/>
    </xf>
    <xf numFmtId="0" fontId="0" fillId="0" borderId="9" xfId="0" applyBorder="1">
      <alignment vertical="center"/>
    </xf>
    <xf numFmtId="0" fontId="0" fillId="0" borderId="14" xfId="0" applyBorder="1">
      <alignment vertical="center"/>
    </xf>
  </cellXfs>
  <cellStyles count="9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 xfId="49"/>
    <cellStyle name="0,0_x000d__x000a_NA_x000d__x000a_" xfId="50"/>
    <cellStyle name="0,0_x000d__x000a_NA_x000d__x000a_ 2" xfId="51"/>
    <cellStyle name="0,0_x000d__x000a_NA_x000d__x000a_ 2 2" xfId="52"/>
    <cellStyle name="百分比 2" xfId="53"/>
    <cellStyle name="常规 10" xfId="54"/>
    <cellStyle name="常规 2" xfId="55"/>
    <cellStyle name="常规 2 2" xfId="56"/>
    <cellStyle name="常规 2 2 2" xfId="57"/>
    <cellStyle name="常规 2 2 2 2" xfId="58"/>
    <cellStyle name="常规 2 2 3" xfId="59"/>
    <cellStyle name="常规 2 2 4" xfId="60"/>
    <cellStyle name="常规 2 2 5" xfId="61"/>
    <cellStyle name="常规 2 3" xfId="62"/>
    <cellStyle name="常规 2 3 2" xfId="63"/>
    <cellStyle name="常规 2 4" xfId="64"/>
    <cellStyle name="常规 2 5" xfId="65"/>
    <cellStyle name="常规 2 6" xfId="66"/>
    <cellStyle name="常规 2 7" xfId="67"/>
    <cellStyle name="常规 3" xfId="68"/>
    <cellStyle name="常规 3 2" xfId="69"/>
    <cellStyle name="常规 3 2 2" xfId="70"/>
    <cellStyle name="常规 3 2 2 2" xfId="71"/>
    <cellStyle name="常规 3 3" xfId="72"/>
    <cellStyle name="常规 3 4" xfId="73"/>
    <cellStyle name="常规 3 4 2" xfId="74"/>
    <cellStyle name="常规 3 5" xfId="75"/>
    <cellStyle name="常规 3 6" xfId="76"/>
    <cellStyle name="常规 3 7" xfId="77"/>
    <cellStyle name="常规 4" xfId="78"/>
    <cellStyle name="常规 4 2" xfId="79"/>
    <cellStyle name="常规 4 3" xfId="80"/>
    <cellStyle name="常规 4 3 2" xfId="81"/>
    <cellStyle name="常规 4 4" xfId="82"/>
    <cellStyle name="常规 4 5" xfId="83"/>
    <cellStyle name="常规 4 6" xfId="84"/>
    <cellStyle name="常规 5" xfId="85"/>
    <cellStyle name="常规 5 2" xfId="86"/>
    <cellStyle name="常规 6" xfId="87"/>
    <cellStyle name="常规 7" xfId="88"/>
    <cellStyle name="常规 8" xfId="89"/>
    <cellStyle name="常规 9" xfId="90"/>
    <cellStyle name="常规_IDS集成测试人员系统测试用例_20090513" xfId="91"/>
    <cellStyle name="常规_Sheet1_1" xfId="92"/>
    <cellStyle name="常规_TestCase" xfId="93"/>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276225</xdr:colOff>
      <xdr:row>2</xdr:row>
      <xdr:rowOff>123825</xdr:rowOff>
    </xdr:to>
    <xdr:pic>
      <xdr:nvPicPr>
        <xdr:cNvPr id="2" name="图片 1" descr="CPIC-logo"/>
        <xdr:cNvPicPr/>
      </xdr:nvPicPr>
      <xdr:blipFill>
        <a:blip r:embed="rId1" cstate="print"/>
        <a:srcRect/>
        <a:stretch>
          <a:fillRect/>
        </a:stretch>
      </xdr:blipFill>
      <xdr:spPr>
        <a:xfrm>
          <a:off x="0" y="0"/>
          <a:ext cx="1510665" cy="48958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
  <sheetViews>
    <sheetView workbookViewId="0">
      <selection activeCell="E28" sqref="E28"/>
    </sheetView>
  </sheetViews>
  <sheetFormatPr defaultColWidth="9" defaultRowHeight="14.4"/>
  <cols>
    <col min="3" max="3" width="12.5555555555556" customWidth="1"/>
    <col min="4" max="4" width="12.4537037037037" customWidth="1"/>
    <col min="5" max="5" width="11.0925925925926" customWidth="1"/>
    <col min="6" max="6" width="18.9074074074074" customWidth="1"/>
    <col min="7" max="7" width="11.2685185185185" customWidth="1"/>
  </cols>
  <sheetData>
    <row r="1" spans="1:9">
      <c r="A1" s="90" t="s">
        <v>0</v>
      </c>
      <c r="B1" s="91"/>
      <c r="C1" s="91"/>
      <c r="D1" s="91"/>
      <c r="E1" s="91"/>
      <c r="F1" s="91"/>
      <c r="G1" s="91"/>
      <c r="H1" s="91"/>
      <c r="I1" s="91"/>
    </row>
    <row r="2" spans="1:9">
      <c r="A2" s="91"/>
      <c r="B2" s="91"/>
      <c r="C2" s="91"/>
      <c r="D2" s="91"/>
      <c r="E2" s="91"/>
      <c r="F2" s="91"/>
      <c r="G2" s="91"/>
      <c r="H2" s="91"/>
      <c r="I2" s="91"/>
    </row>
    <row r="3" spans="1:9">
      <c r="A3" s="91"/>
      <c r="B3" s="91"/>
      <c r="C3" s="91"/>
      <c r="D3" s="91"/>
      <c r="E3" s="91"/>
      <c r="F3" s="91"/>
      <c r="G3" s="91"/>
      <c r="H3" s="91"/>
      <c r="I3" s="91"/>
    </row>
    <row r="4" spans="1:9">
      <c r="A4" s="91"/>
      <c r="B4" s="91"/>
      <c r="C4" s="91"/>
      <c r="D4" s="91"/>
      <c r="E4" s="91"/>
      <c r="F4" s="91"/>
      <c r="G4" s="91"/>
      <c r="H4" s="91"/>
      <c r="I4" s="91"/>
    </row>
    <row r="5" spans="1:9">
      <c r="A5" s="91"/>
      <c r="B5" s="91"/>
      <c r="C5" s="91"/>
      <c r="D5" s="91"/>
      <c r="E5" s="91"/>
      <c r="F5" s="91"/>
      <c r="G5" s="91"/>
      <c r="H5" s="91"/>
      <c r="I5" s="91"/>
    </row>
    <row r="6" spans="1:9">
      <c r="A6" s="91"/>
      <c r="B6" s="91"/>
      <c r="C6" s="91"/>
      <c r="D6" s="91"/>
      <c r="E6" s="91"/>
      <c r="F6" s="91"/>
      <c r="G6" s="91"/>
      <c r="H6" s="91"/>
      <c r="I6" s="91"/>
    </row>
    <row r="7" spans="1:9">
      <c r="A7" s="91"/>
      <c r="B7" s="91"/>
      <c r="C7" s="91"/>
      <c r="D7" s="91"/>
      <c r="E7" s="91"/>
      <c r="F7" s="91"/>
      <c r="G7" s="91"/>
      <c r="H7" s="91"/>
      <c r="I7" s="91"/>
    </row>
    <row r="8" spans="1:9">
      <c r="A8" s="91"/>
      <c r="B8" s="91"/>
      <c r="C8" s="91"/>
      <c r="D8" s="91"/>
      <c r="E8" s="91"/>
      <c r="F8" s="91"/>
      <c r="G8" s="91"/>
      <c r="H8" s="91"/>
      <c r="I8" s="91"/>
    </row>
    <row r="9" spans="1:9">
      <c r="A9" s="91"/>
      <c r="B9" s="91"/>
      <c r="C9" s="91"/>
      <c r="D9" s="91"/>
      <c r="E9" s="91"/>
      <c r="F9" s="91"/>
      <c r="G9" s="91"/>
      <c r="H9" s="91"/>
      <c r="I9" s="91"/>
    </row>
    <row r="10" spans="1:9">
      <c r="A10" s="91"/>
      <c r="B10" s="91"/>
      <c r="C10" s="91"/>
      <c r="D10" s="91"/>
      <c r="E10" s="91"/>
      <c r="F10" s="91"/>
      <c r="G10" s="91"/>
      <c r="H10" s="91"/>
      <c r="I10" s="91"/>
    </row>
    <row r="11" spans="1:9">
      <c r="A11" s="91"/>
      <c r="B11" s="91"/>
      <c r="C11" s="91"/>
      <c r="D11" s="91"/>
      <c r="E11" s="91"/>
      <c r="F11" s="91"/>
      <c r="G11" s="91"/>
      <c r="H11" s="91"/>
      <c r="I11" s="91"/>
    </row>
    <row r="12" spans="1:9">
      <c r="A12" s="91"/>
      <c r="B12" s="91"/>
      <c r="C12" s="91"/>
      <c r="D12" s="91"/>
      <c r="E12" s="91"/>
      <c r="F12" s="91"/>
      <c r="G12" s="91"/>
      <c r="H12" s="91"/>
      <c r="I12" s="91"/>
    </row>
    <row r="13" spans="1:9">
      <c r="A13" s="91"/>
      <c r="B13" s="91"/>
      <c r="C13" s="91"/>
      <c r="D13" s="91"/>
      <c r="E13" s="91"/>
      <c r="F13" s="91"/>
      <c r="G13" s="91"/>
      <c r="H13" s="91"/>
      <c r="I13" s="91"/>
    </row>
    <row r="14" spans="1:9">
      <c r="A14" s="91"/>
      <c r="B14" s="91"/>
      <c r="C14" s="91"/>
      <c r="D14" s="91"/>
      <c r="E14" s="91"/>
      <c r="F14" s="91"/>
      <c r="G14" s="91"/>
      <c r="H14" s="91"/>
      <c r="I14" s="91"/>
    </row>
    <row r="15" spans="1:9">
      <c r="A15" s="91"/>
      <c r="B15" s="91"/>
      <c r="C15" s="91"/>
      <c r="D15" s="91"/>
      <c r="E15" s="91"/>
      <c r="F15" s="91"/>
      <c r="G15" s="91"/>
      <c r="H15" s="91"/>
      <c r="I15" s="91"/>
    </row>
    <row r="16" ht="15.15" spans="1:9">
      <c r="A16" s="91"/>
      <c r="B16" s="91"/>
      <c r="C16" s="91"/>
      <c r="D16" s="91"/>
      <c r="E16" s="91"/>
      <c r="F16" s="91"/>
      <c r="G16" s="91"/>
      <c r="H16" s="91"/>
      <c r="I16" s="91"/>
    </row>
    <row r="17" ht="17.4" spans="3:7">
      <c r="C17" s="92" t="s">
        <v>1</v>
      </c>
      <c r="D17" s="93" t="s">
        <v>2</v>
      </c>
      <c r="E17" s="93" t="s">
        <v>3</v>
      </c>
      <c r="F17" s="93" t="s">
        <v>4</v>
      </c>
      <c r="G17" s="94" t="s">
        <v>5</v>
      </c>
    </row>
    <row r="18" spans="3:7">
      <c r="C18" s="95">
        <v>20260304</v>
      </c>
      <c r="D18" s="96" t="s">
        <v>6</v>
      </c>
      <c r="E18" s="97" t="s">
        <v>7</v>
      </c>
      <c r="F18" s="97" t="s">
        <v>8</v>
      </c>
      <c r="G18" s="98"/>
    </row>
    <row r="19" spans="3:7">
      <c r="C19" s="99"/>
      <c r="D19" s="100"/>
      <c r="E19" s="100"/>
      <c r="F19" s="100"/>
      <c r="G19" s="101"/>
    </row>
    <row r="20" spans="3:7">
      <c r="C20" s="99"/>
      <c r="D20" s="100"/>
      <c r="E20" s="100"/>
      <c r="F20" s="100"/>
      <c r="G20" s="101"/>
    </row>
    <row r="21" spans="3:7">
      <c r="C21" s="99"/>
      <c r="D21" s="100"/>
      <c r="E21" s="100"/>
      <c r="F21" s="100"/>
      <c r="G21" s="101"/>
    </row>
    <row r="22" spans="3:7">
      <c r="C22" s="99"/>
      <c r="D22" s="100"/>
      <c r="E22" s="100"/>
      <c r="F22" s="100"/>
      <c r="G22" s="101"/>
    </row>
    <row r="23" ht="15.15" spans="3:7">
      <c r="C23" s="102"/>
      <c r="D23" s="103"/>
      <c r="E23" s="103"/>
      <c r="F23" s="103"/>
      <c r="G23" s="104"/>
    </row>
  </sheetData>
  <mergeCells count="1">
    <mergeCell ref="A1:I16"/>
  </mergeCells>
  <pageMargins left="0.7" right="0.7" top="0.75" bottom="0.75" header="0.3" footer="0.3"/>
  <pageSetup paperSize="9" orientation="portrait" horizontalDpi="2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M22"/>
  <sheetViews>
    <sheetView workbookViewId="0">
      <selection activeCell="F21" sqref="F21"/>
    </sheetView>
  </sheetViews>
  <sheetFormatPr defaultColWidth="10.9074074074074" defaultRowHeight="14.4"/>
  <cols>
    <col min="1" max="1" width="19.2685185185185" style="15" customWidth="1"/>
    <col min="2" max="2" width="12.0925925925926" style="15" customWidth="1"/>
    <col min="3" max="3" width="13.0925925925926" style="58" customWidth="1"/>
    <col min="4" max="9" width="11.9074074074074" style="58" customWidth="1"/>
    <col min="10" max="10" width="12.9074074074074" style="58" customWidth="1"/>
    <col min="11" max="11" width="14.0925925925926" style="58" customWidth="1"/>
    <col min="12" max="12" width="10.2685185185185" style="58" customWidth="1"/>
    <col min="13" max="13" width="10.0925925925926" style="15" customWidth="1"/>
    <col min="14" max="256" width="10.9074074074074" style="15"/>
    <col min="257" max="257" width="16.6296296296296" style="15" customWidth="1"/>
    <col min="258" max="258" width="10.2685185185185" style="15" customWidth="1"/>
    <col min="259" max="259" width="6.62962962962963" style="15" customWidth="1"/>
    <col min="260" max="265" width="10.2685185185185" style="15" customWidth="1"/>
    <col min="266" max="266" width="6.62962962962963" style="15" customWidth="1"/>
    <col min="267" max="267" width="15" style="15" customWidth="1"/>
    <col min="268" max="268" width="9.36111111111111" style="15" customWidth="1"/>
    <col min="269" max="269" width="5" style="15" customWidth="1"/>
    <col min="270" max="512" width="10.9074074074074" style="15"/>
    <col min="513" max="513" width="16.6296296296296" style="15" customWidth="1"/>
    <col min="514" max="514" width="10.2685185185185" style="15" customWidth="1"/>
    <col min="515" max="515" width="6.62962962962963" style="15" customWidth="1"/>
    <col min="516" max="521" width="10.2685185185185" style="15" customWidth="1"/>
    <col min="522" max="522" width="6.62962962962963" style="15" customWidth="1"/>
    <col min="523" max="523" width="15" style="15" customWidth="1"/>
    <col min="524" max="524" width="9.36111111111111" style="15" customWidth="1"/>
    <col min="525" max="525" width="5" style="15" customWidth="1"/>
    <col min="526" max="768" width="10.9074074074074" style="15"/>
    <col min="769" max="769" width="16.6296296296296" style="15" customWidth="1"/>
    <col min="770" max="770" width="10.2685185185185" style="15" customWidth="1"/>
    <col min="771" max="771" width="6.62962962962963" style="15" customWidth="1"/>
    <col min="772" max="777" width="10.2685185185185" style="15" customWidth="1"/>
    <col min="778" max="778" width="6.62962962962963" style="15" customWidth="1"/>
    <col min="779" max="779" width="15" style="15" customWidth="1"/>
    <col min="780" max="780" width="9.36111111111111" style="15" customWidth="1"/>
    <col min="781" max="781" width="5" style="15" customWidth="1"/>
    <col min="782" max="1024" width="10.9074074074074" style="15"/>
    <col min="1025" max="1025" width="16.6296296296296" style="15" customWidth="1"/>
    <col min="1026" max="1026" width="10.2685185185185" style="15" customWidth="1"/>
    <col min="1027" max="1027" width="6.62962962962963" style="15" customWidth="1"/>
    <col min="1028" max="1033" width="10.2685185185185" style="15" customWidth="1"/>
    <col min="1034" max="1034" width="6.62962962962963" style="15" customWidth="1"/>
    <col min="1035" max="1035" width="15" style="15" customWidth="1"/>
    <col min="1036" max="1036" width="9.36111111111111" style="15" customWidth="1"/>
    <col min="1037" max="1037" width="5" style="15" customWidth="1"/>
    <col min="1038" max="1280" width="10.9074074074074" style="15"/>
    <col min="1281" max="1281" width="16.6296296296296" style="15" customWidth="1"/>
    <col min="1282" max="1282" width="10.2685185185185" style="15" customWidth="1"/>
    <col min="1283" max="1283" width="6.62962962962963" style="15" customWidth="1"/>
    <col min="1284" max="1289" width="10.2685185185185" style="15" customWidth="1"/>
    <col min="1290" max="1290" width="6.62962962962963" style="15" customWidth="1"/>
    <col min="1291" max="1291" width="15" style="15" customWidth="1"/>
    <col min="1292" max="1292" width="9.36111111111111" style="15" customWidth="1"/>
    <col min="1293" max="1293" width="5" style="15" customWidth="1"/>
    <col min="1294" max="1536" width="10.9074074074074" style="15"/>
    <col min="1537" max="1537" width="16.6296296296296" style="15" customWidth="1"/>
    <col min="1538" max="1538" width="10.2685185185185" style="15" customWidth="1"/>
    <col min="1539" max="1539" width="6.62962962962963" style="15" customWidth="1"/>
    <col min="1540" max="1545" width="10.2685185185185" style="15" customWidth="1"/>
    <col min="1546" max="1546" width="6.62962962962963" style="15" customWidth="1"/>
    <col min="1547" max="1547" width="15" style="15" customWidth="1"/>
    <col min="1548" max="1548" width="9.36111111111111" style="15" customWidth="1"/>
    <col min="1549" max="1549" width="5" style="15" customWidth="1"/>
    <col min="1550" max="1792" width="10.9074074074074" style="15"/>
    <col min="1793" max="1793" width="16.6296296296296" style="15" customWidth="1"/>
    <col min="1794" max="1794" width="10.2685185185185" style="15" customWidth="1"/>
    <col min="1795" max="1795" width="6.62962962962963" style="15" customWidth="1"/>
    <col min="1796" max="1801" width="10.2685185185185" style="15" customWidth="1"/>
    <col min="1802" max="1802" width="6.62962962962963" style="15" customWidth="1"/>
    <col min="1803" max="1803" width="15" style="15" customWidth="1"/>
    <col min="1804" max="1804" width="9.36111111111111" style="15" customWidth="1"/>
    <col min="1805" max="1805" width="5" style="15" customWidth="1"/>
    <col min="1806" max="2048" width="10.9074074074074" style="15"/>
    <col min="2049" max="2049" width="16.6296296296296" style="15" customWidth="1"/>
    <col min="2050" max="2050" width="10.2685185185185" style="15" customWidth="1"/>
    <col min="2051" max="2051" width="6.62962962962963" style="15" customWidth="1"/>
    <col min="2052" max="2057" width="10.2685185185185" style="15" customWidth="1"/>
    <col min="2058" max="2058" width="6.62962962962963" style="15" customWidth="1"/>
    <col min="2059" max="2059" width="15" style="15" customWidth="1"/>
    <col min="2060" max="2060" width="9.36111111111111" style="15" customWidth="1"/>
    <col min="2061" max="2061" width="5" style="15" customWidth="1"/>
    <col min="2062" max="2304" width="10.9074074074074" style="15"/>
    <col min="2305" max="2305" width="16.6296296296296" style="15" customWidth="1"/>
    <col min="2306" max="2306" width="10.2685185185185" style="15" customWidth="1"/>
    <col min="2307" max="2307" width="6.62962962962963" style="15" customWidth="1"/>
    <col min="2308" max="2313" width="10.2685185185185" style="15" customWidth="1"/>
    <col min="2314" max="2314" width="6.62962962962963" style="15" customWidth="1"/>
    <col min="2315" max="2315" width="15" style="15" customWidth="1"/>
    <col min="2316" max="2316" width="9.36111111111111" style="15" customWidth="1"/>
    <col min="2317" max="2317" width="5" style="15" customWidth="1"/>
    <col min="2318" max="2560" width="10.9074074074074" style="15"/>
    <col min="2561" max="2561" width="16.6296296296296" style="15" customWidth="1"/>
    <col min="2562" max="2562" width="10.2685185185185" style="15" customWidth="1"/>
    <col min="2563" max="2563" width="6.62962962962963" style="15" customWidth="1"/>
    <col min="2564" max="2569" width="10.2685185185185" style="15" customWidth="1"/>
    <col min="2570" max="2570" width="6.62962962962963" style="15" customWidth="1"/>
    <col min="2571" max="2571" width="15" style="15" customWidth="1"/>
    <col min="2572" max="2572" width="9.36111111111111" style="15" customWidth="1"/>
    <col min="2573" max="2573" width="5" style="15" customWidth="1"/>
    <col min="2574" max="2816" width="10.9074074074074" style="15"/>
    <col min="2817" max="2817" width="16.6296296296296" style="15" customWidth="1"/>
    <col min="2818" max="2818" width="10.2685185185185" style="15" customWidth="1"/>
    <col min="2819" max="2819" width="6.62962962962963" style="15" customWidth="1"/>
    <col min="2820" max="2825" width="10.2685185185185" style="15" customWidth="1"/>
    <col min="2826" max="2826" width="6.62962962962963" style="15" customWidth="1"/>
    <col min="2827" max="2827" width="15" style="15" customWidth="1"/>
    <col min="2828" max="2828" width="9.36111111111111" style="15" customWidth="1"/>
    <col min="2829" max="2829" width="5" style="15" customWidth="1"/>
    <col min="2830" max="3072" width="10.9074074074074" style="15"/>
    <col min="3073" max="3073" width="16.6296296296296" style="15" customWidth="1"/>
    <col min="3074" max="3074" width="10.2685185185185" style="15" customWidth="1"/>
    <col min="3075" max="3075" width="6.62962962962963" style="15" customWidth="1"/>
    <col min="3076" max="3081" width="10.2685185185185" style="15" customWidth="1"/>
    <col min="3082" max="3082" width="6.62962962962963" style="15" customWidth="1"/>
    <col min="3083" max="3083" width="15" style="15" customWidth="1"/>
    <col min="3084" max="3084" width="9.36111111111111" style="15" customWidth="1"/>
    <col min="3085" max="3085" width="5" style="15" customWidth="1"/>
    <col min="3086" max="3328" width="10.9074074074074" style="15"/>
    <col min="3329" max="3329" width="16.6296296296296" style="15" customWidth="1"/>
    <col min="3330" max="3330" width="10.2685185185185" style="15" customWidth="1"/>
    <col min="3331" max="3331" width="6.62962962962963" style="15" customWidth="1"/>
    <col min="3332" max="3337" width="10.2685185185185" style="15" customWidth="1"/>
    <col min="3338" max="3338" width="6.62962962962963" style="15" customWidth="1"/>
    <col min="3339" max="3339" width="15" style="15" customWidth="1"/>
    <col min="3340" max="3340" width="9.36111111111111" style="15" customWidth="1"/>
    <col min="3341" max="3341" width="5" style="15" customWidth="1"/>
    <col min="3342" max="3584" width="10.9074074074074" style="15"/>
    <col min="3585" max="3585" width="16.6296296296296" style="15" customWidth="1"/>
    <col min="3586" max="3586" width="10.2685185185185" style="15" customWidth="1"/>
    <col min="3587" max="3587" width="6.62962962962963" style="15" customWidth="1"/>
    <col min="3588" max="3593" width="10.2685185185185" style="15" customWidth="1"/>
    <col min="3594" max="3594" width="6.62962962962963" style="15" customWidth="1"/>
    <col min="3595" max="3595" width="15" style="15" customWidth="1"/>
    <col min="3596" max="3596" width="9.36111111111111" style="15" customWidth="1"/>
    <col min="3597" max="3597" width="5" style="15" customWidth="1"/>
    <col min="3598" max="3840" width="10.9074074074074" style="15"/>
    <col min="3841" max="3841" width="16.6296296296296" style="15" customWidth="1"/>
    <col min="3842" max="3842" width="10.2685185185185" style="15" customWidth="1"/>
    <col min="3843" max="3843" width="6.62962962962963" style="15" customWidth="1"/>
    <col min="3844" max="3849" width="10.2685185185185" style="15" customWidth="1"/>
    <col min="3850" max="3850" width="6.62962962962963" style="15" customWidth="1"/>
    <col min="3851" max="3851" width="15" style="15" customWidth="1"/>
    <col min="3852" max="3852" width="9.36111111111111" style="15" customWidth="1"/>
    <col min="3853" max="3853" width="5" style="15" customWidth="1"/>
    <col min="3854" max="4096" width="10.9074074074074" style="15"/>
    <col min="4097" max="4097" width="16.6296296296296" style="15" customWidth="1"/>
    <col min="4098" max="4098" width="10.2685185185185" style="15" customWidth="1"/>
    <col min="4099" max="4099" width="6.62962962962963" style="15" customWidth="1"/>
    <col min="4100" max="4105" width="10.2685185185185" style="15" customWidth="1"/>
    <col min="4106" max="4106" width="6.62962962962963" style="15" customWidth="1"/>
    <col min="4107" max="4107" width="15" style="15" customWidth="1"/>
    <col min="4108" max="4108" width="9.36111111111111" style="15" customWidth="1"/>
    <col min="4109" max="4109" width="5" style="15" customWidth="1"/>
    <col min="4110" max="4352" width="10.9074074074074" style="15"/>
    <col min="4353" max="4353" width="16.6296296296296" style="15" customWidth="1"/>
    <col min="4354" max="4354" width="10.2685185185185" style="15" customWidth="1"/>
    <col min="4355" max="4355" width="6.62962962962963" style="15" customWidth="1"/>
    <col min="4356" max="4361" width="10.2685185185185" style="15" customWidth="1"/>
    <col min="4362" max="4362" width="6.62962962962963" style="15" customWidth="1"/>
    <col min="4363" max="4363" width="15" style="15" customWidth="1"/>
    <col min="4364" max="4364" width="9.36111111111111" style="15" customWidth="1"/>
    <col min="4365" max="4365" width="5" style="15" customWidth="1"/>
    <col min="4366" max="4608" width="10.9074074074074" style="15"/>
    <col min="4609" max="4609" width="16.6296296296296" style="15" customWidth="1"/>
    <col min="4610" max="4610" width="10.2685185185185" style="15" customWidth="1"/>
    <col min="4611" max="4611" width="6.62962962962963" style="15" customWidth="1"/>
    <col min="4612" max="4617" width="10.2685185185185" style="15" customWidth="1"/>
    <col min="4618" max="4618" width="6.62962962962963" style="15" customWidth="1"/>
    <col min="4619" max="4619" width="15" style="15" customWidth="1"/>
    <col min="4620" max="4620" width="9.36111111111111" style="15" customWidth="1"/>
    <col min="4621" max="4621" width="5" style="15" customWidth="1"/>
    <col min="4622" max="4864" width="10.9074074074074" style="15"/>
    <col min="4865" max="4865" width="16.6296296296296" style="15" customWidth="1"/>
    <col min="4866" max="4866" width="10.2685185185185" style="15" customWidth="1"/>
    <col min="4867" max="4867" width="6.62962962962963" style="15" customWidth="1"/>
    <col min="4868" max="4873" width="10.2685185185185" style="15" customWidth="1"/>
    <col min="4874" max="4874" width="6.62962962962963" style="15" customWidth="1"/>
    <col min="4875" max="4875" width="15" style="15" customWidth="1"/>
    <col min="4876" max="4876" width="9.36111111111111" style="15" customWidth="1"/>
    <col min="4877" max="4877" width="5" style="15" customWidth="1"/>
    <col min="4878" max="5120" width="10.9074074074074" style="15"/>
    <col min="5121" max="5121" width="16.6296296296296" style="15" customWidth="1"/>
    <col min="5122" max="5122" width="10.2685185185185" style="15" customWidth="1"/>
    <col min="5123" max="5123" width="6.62962962962963" style="15" customWidth="1"/>
    <col min="5124" max="5129" width="10.2685185185185" style="15" customWidth="1"/>
    <col min="5130" max="5130" width="6.62962962962963" style="15" customWidth="1"/>
    <col min="5131" max="5131" width="15" style="15" customWidth="1"/>
    <col min="5132" max="5132" width="9.36111111111111" style="15" customWidth="1"/>
    <col min="5133" max="5133" width="5" style="15" customWidth="1"/>
    <col min="5134" max="5376" width="10.9074074074074" style="15"/>
    <col min="5377" max="5377" width="16.6296296296296" style="15" customWidth="1"/>
    <col min="5378" max="5378" width="10.2685185185185" style="15" customWidth="1"/>
    <col min="5379" max="5379" width="6.62962962962963" style="15" customWidth="1"/>
    <col min="5380" max="5385" width="10.2685185185185" style="15" customWidth="1"/>
    <col min="5386" max="5386" width="6.62962962962963" style="15" customWidth="1"/>
    <col min="5387" max="5387" width="15" style="15" customWidth="1"/>
    <col min="5388" max="5388" width="9.36111111111111" style="15" customWidth="1"/>
    <col min="5389" max="5389" width="5" style="15" customWidth="1"/>
    <col min="5390" max="5632" width="10.9074074074074" style="15"/>
    <col min="5633" max="5633" width="16.6296296296296" style="15" customWidth="1"/>
    <col min="5634" max="5634" width="10.2685185185185" style="15" customWidth="1"/>
    <col min="5635" max="5635" width="6.62962962962963" style="15" customWidth="1"/>
    <col min="5636" max="5641" width="10.2685185185185" style="15" customWidth="1"/>
    <col min="5642" max="5642" width="6.62962962962963" style="15" customWidth="1"/>
    <col min="5643" max="5643" width="15" style="15" customWidth="1"/>
    <col min="5644" max="5644" width="9.36111111111111" style="15" customWidth="1"/>
    <col min="5645" max="5645" width="5" style="15" customWidth="1"/>
    <col min="5646" max="5888" width="10.9074074074074" style="15"/>
    <col min="5889" max="5889" width="16.6296296296296" style="15" customWidth="1"/>
    <col min="5890" max="5890" width="10.2685185185185" style="15" customWidth="1"/>
    <col min="5891" max="5891" width="6.62962962962963" style="15" customWidth="1"/>
    <col min="5892" max="5897" width="10.2685185185185" style="15" customWidth="1"/>
    <col min="5898" max="5898" width="6.62962962962963" style="15" customWidth="1"/>
    <col min="5899" max="5899" width="15" style="15" customWidth="1"/>
    <col min="5900" max="5900" width="9.36111111111111" style="15" customWidth="1"/>
    <col min="5901" max="5901" width="5" style="15" customWidth="1"/>
    <col min="5902" max="6144" width="10.9074074074074" style="15"/>
    <col min="6145" max="6145" width="16.6296296296296" style="15" customWidth="1"/>
    <col min="6146" max="6146" width="10.2685185185185" style="15" customWidth="1"/>
    <col min="6147" max="6147" width="6.62962962962963" style="15" customWidth="1"/>
    <col min="6148" max="6153" width="10.2685185185185" style="15" customWidth="1"/>
    <col min="6154" max="6154" width="6.62962962962963" style="15" customWidth="1"/>
    <col min="6155" max="6155" width="15" style="15" customWidth="1"/>
    <col min="6156" max="6156" width="9.36111111111111" style="15" customWidth="1"/>
    <col min="6157" max="6157" width="5" style="15" customWidth="1"/>
    <col min="6158" max="6400" width="10.9074074074074" style="15"/>
    <col min="6401" max="6401" width="16.6296296296296" style="15" customWidth="1"/>
    <col min="6402" max="6402" width="10.2685185185185" style="15" customWidth="1"/>
    <col min="6403" max="6403" width="6.62962962962963" style="15" customWidth="1"/>
    <col min="6404" max="6409" width="10.2685185185185" style="15" customWidth="1"/>
    <col min="6410" max="6410" width="6.62962962962963" style="15" customWidth="1"/>
    <col min="6411" max="6411" width="15" style="15" customWidth="1"/>
    <col min="6412" max="6412" width="9.36111111111111" style="15" customWidth="1"/>
    <col min="6413" max="6413" width="5" style="15" customWidth="1"/>
    <col min="6414" max="6656" width="10.9074074074074" style="15"/>
    <col min="6657" max="6657" width="16.6296296296296" style="15" customWidth="1"/>
    <col min="6658" max="6658" width="10.2685185185185" style="15" customWidth="1"/>
    <col min="6659" max="6659" width="6.62962962962963" style="15" customWidth="1"/>
    <col min="6660" max="6665" width="10.2685185185185" style="15" customWidth="1"/>
    <col min="6666" max="6666" width="6.62962962962963" style="15" customWidth="1"/>
    <col min="6667" max="6667" width="15" style="15" customWidth="1"/>
    <col min="6668" max="6668" width="9.36111111111111" style="15" customWidth="1"/>
    <col min="6669" max="6669" width="5" style="15" customWidth="1"/>
    <col min="6670" max="6912" width="10.9074074074074" style="15"/>
    <col min="6913" max="6913" width="16.6296296296296" style="15" customWidth="1"/>
    <col min="6914" max="6914" width="10.2685185185185" style="15" customWidth="1"/>
    <col min="6915" max="6915" width="6.62962962962963" style="15" customWidth="1"/>
    <col min="6916" max="6921" width="10.2685185185185" style="15" customWidth="1"/>
    <col min="6922" max="6922" width="6.62962962962963" style="15" customWidth="1"/>
    <col min="6923" max="6923" width="15" style="15" customWidth="1"/>
    <col min="6924" max="6924" width="9.36111111111111" style="15" customWidth="1"/>
    <col min="6925" max="6925" width="5" style="15" customWidth="1"/>
    <col min="6926" max="7168" width="10.9074074074074" style="15"/>
    <col min="7169" max="7169" width="16.6296296296296" style="15" customWidth="1"/>
    <col min="7170" max="7170" width="10.2685185185185" style="15" customWidth="1"/>
    <col min="7171" max="7171" width="6.62962962962963" style="15" customWidth="1"/>
    <col min="7172" max="7177" width="10.2685185185185" style="15" customWidth="1"/>
    <col min="7178" max="7178" width="6.62962962962963" style="15" customWidth="1"/>
    <col min="7179" max="7179" width="15" style="15" customWidth="1"/>
    <col min="7180" max="7180" width="9.36111111111111" style="15" customWidth="1"/>
    <col min="7181" max="7181" width="5" style="15" customWidth="1"/>
    <col min="7182" max="7424" width="10.9074074074074" style="15"/>
    <col min="7425" max="7425" width="16.6296296296296" style="15" customWidth="1"/>
    <col min="7426" max="7426" width="10.2685185185185" style="15" customWidth="1"/>
    <col min="7427" max="7427" width="6.62962962962963" style="15" customWidth="1"/>
    <col min="7428" max="7433" width="10.2685185185185" style="15" customWidth="1"/>
    <col min="7434" max="7434" width="6.62962962962963" style="15" customWidth="1"/>
    <col min="7435" max="7435" width="15" style="15" customWidth="1"/>
    <col min="7436" max="7436" width="9.36111111111111" style="15" customWidth="1"/>
    <col min="7437" max="7437" width="5" style="15" customWidth="1"/>
    <col min="7438" max="7680" width="10.9074074074074" style="15"/>
    <col min="7681" max="7681" width="16.6296296296296" style="15" customWidth="1"/>
    <col min="7682" max="7682" width="10.2685185185185" style="15" customWidth="1"/>
    <col min="7683" max="7683" width="6.62962962962963" style="15" customWidth="1"/>
    <col min="7684" max="7689" width="10.2685185185185" style="15" customWidth="1"/>
    <col min="7690" max="7690" width="6.62962962962963" style="15" customWidth="1"/>
    <col min="7691" max="7691" width="15" style="15" customWidth="1"/>
    <col min="7692" max="7692" width="9.36111111111111" style="15" customWidth="1"/>
    <col min="7693" max="7693" width="5" style="15" customWidth="1"/>
    <col min="7694" max="7936" width="10.9074074074074" style="15"/>
    <col min="7937" max="7937" width="16.6296296296296" style="15" customWidth="1"/>
    <col min="7938" max="7938" width="10.2685185185185" style="15" customWidth="1"/>
    <col min="7939" max="7939" width="6.62962962962963" style="15" customWidth="1"/>
    <col min="7940" max="7945" width="10.2685185185185" style="15" customWidth="1"/>
    <col min="7946" max="7946" width="6.62962962962963" style="15" customWidth="1"/>
    <col min="7947" max="7947" width="15" style="15" customWidth="1"/>
    <col min="7948" max="7948" width="9.36111111111111" style="15" customWidth="1"/>
    <col min="7949" max="7949" width="5" style="15" customWidth="1"/>
    <col min="7950" max="8192" width="10.9074074074074" style="15"/>
    <col min="8193" max="8193" width="16.6296296296296" style="15" customWidth="1"/>
    <col min="8194" max="8194" width="10.2685185185185" style="15" customWidth="1"/>
    <col min="8195" max="8195" width="6.62962962962963" style="15" customWidth="1"/>
    <col min="8196" max="8201" width="10.2685185185185" style="15" customWidth="1"/>
    <col min="8202" max="8202" width="6.62962962962963" style="15" customWidth="1"/>
    <col min="8203" max="8203" width="15" style="15" customWidth="1"/>
    <col min="8204" max="8204" width="9.36111111111111" style="15" customWidth="1"/>
    <col min="8205" max="8205" width="5" style="15" customWidth="1"/>
    <col min="8206" max="8448" width="10.9074074074074" style="15"/>
    <col min="8449" max="8449" width="16.6296296296296" style="15" customWidth="1"/>
    <col min="8450" max="8450" width="10.2685185185185" style="15" customWidth="1"/>
    <col min="8451" max="8451" width="6.62962962962963" style="15" customWidth="1"/>
    <col min="8452" max="8457" width="10.2685185185185" style="15" customWidth="1"/>
    <col min="8458" max="8458" width="6.62962962962963" style="15" customWidth="1"/>
    <col min="8459" max="8459" width="15" style="15" customWidth="1"/>
    <col min="8460" max="8460" width="9.36111111111111" style="15" customWidth="1"/>
    <col min="8461" max="8461" width="5" style="15" customWidth="1"/>
    <col min="8462" max="8704" width="10.9074074074074" style="15"/>
    <col min="8705" max="8705" width="16.6296296296296" style="15" customWidth="1"/>
    <col min="8706" max="8706" width="10.2685185185185" style="15" customWidth="1"/>
    <col min="8707" max="8707" width="6.62962962962963" style="15" customWidth="1"/>
    <col min="8708" max="8713" width="10.2685185185185" style="15" customWidth="1"/>
    <col min="8714" max="8714" width="6.62962962962963" style="15" customWidth="1"/>
    <col min="8715" max="8715" width="15" style="15" customWidth="1"/>
    <col min="8716" max="8716" width="9.36111111111111" style="15" customWidth="1"/>
    <col min="8717" max="8717" width="5" style="15" customWidth="1"/>
    <col min="8718" max="8960" width="10.9074074074074" style="15"/>
    <col min="8961" max="8961" width="16.6296296296296" style="15" customWidth="1"/>
    <col min="8962" max="8962" width="10.2685185185185" style="15" customWidth="1"/>
    <col min="8963" max="8963" width="6.62962962962963" style="15" customWidth="1"/>
    <col min="8964" max="8969" width="10.2685185185185" style="15" customWidth="1"/>
    <col min="8970" max="8970" width="6.62962962962963" style="15" customWidth="1"/>
    <col min="8971" max="8971" width="15" style="15" customWidth="1"/>
    <col min="8972" max="8972" width="9.36111111111111" style="15" customWidth="1"/>
    <col min="8973" max="8973" width="5" style="15" customWidth="1"/>
    <col min="8974" max="9216" width="10.9074074074074" style="15"/>
    <col min="9217" max="9217" width="16.6296296296296" style="15" customWidth="1"/>
    <col min="9218" max="9218" width="10.2685185185185" style="15" customWidth="1"/>
    <col min="9219" max="9219" width="6.62962962962963" style="15" customWidth="1"/>
    <col min="9220" max="9225" width="10.2685185185185" style="15" customWidth="1"/>
    <col min="9226" max="9226" width="6.62962962962963" style="15" customWidth="1"/>
    <col min="9227" max="9227" width="15" style="15" customWidth="1"/>
    <col min="9228" max="9228" width="9.36111111111111" style="15" customWidth="1"/>
    <col min="9229" max="9229" width="5" style="15" customWidth="1"/>
    <col min="9230" max="9472" width="10.9074074074074" style="15"/>
    <col min="9473" max="9473" width="16.6296296296296" style="15" customWidth="1"/>
    <col min="9474" max="9474" width="10.2685185185185" style="15" customWidth="1"/>
    <col min="9475" max="9475" width="6.62962962962963" style="15" customWidth="1"/>
    <col min="9476" max="9481" width="10.2685185185185" style="15" customWidth="1"/>
    <col min="9482" max="9482" width="6.62962962962963" style="15" customWidth="1"/>
    <col min="9483" max="9483" width="15" style="15" customWidth="1"/>
    <col min="9484" max="9484" width="9.36111111111111" style="15" customWidth="1"/>
    <col min="9485" max="9485" width="5" style="15" customWidth="1"/>
    <col min="9486" max="9728" width="10.9074074074074" style="15"/>
    <col min="9729" max="9729" width="16.6296296296296" style="15" customWidth="1"/>
    <col min="9730" max="9730" width="10.2685185185185" style="15" customWidth="1"/>
    <col min="9731" max="9731" width="6.62962962962963" style="15" customWidth="1"/>
    <col min="9732" max="9737" width="10.2685185185185" style="15" customWidth="1"/>
    <col min="9738" max="9738" width="6.62962962962963" style="15" customWidth="1"/>
    <col min="9739" max="9739" width="15" style="15" customWidth="1"/>
    <col min="9740" max="9740" width="9.36111111111111" style="15" customWidth="1"/>
    <col min="9741" max="9741" width="5" style="15" customWidth="1"/>
    <col min="9742" max="9984" width="10.9074074074074" style="15"/>
    <col min="9985" max="9985" width="16.6296296296296" style="15" customWidth="1"/>
    <col min="9986" max="9986" width="10.2685185185185" style="15" customWidth="1"/>
    <col min="9987" max="9987" width="6.62962962962963" style="15" customWidth="1"/>
    <col min="9988" max="9993" width="10.2685185185185" style="15" customWidth="1"/>
    <col min="9994" max="9994" width="6.62962962962963" style="15" customWidth="1"/>
    <col min="9995" max="9995" width="15" style="15" customWidth="1"/>
    <col min="9996" max="9996" width="9.36111111111111" style="15" customWidth="1"/>
    <col min="9997" max="9997" width="5" style="15" customWidth="1"/>
    <col min="9998" max="10240" width="10.9074074074074" style="15"/>
    <col min="10241" max="10241" width="16.6296296296296" style="15" customWidth="1"/>
    <col min="10242" max="10242" width="10.2685185185185" style="15" customWidth="1"/>
    <col min="10243" max="10243" width="6.62962962962963" style="15" customWidth="1"/>
    <col min="10244" max="10249" width="10.2685185185185" style="15" customWidth="1"/>
    <col min="10250" max="10250" width="6.62962962962963" style="15" customWidth="1"/>
    <col min="10251" max="10251" width="15" style="15" customWidth="1"/>
    <col min="10252" max="10252" width="9.36111111111111" style="15" customWidth="1"/>
    <col min="10253" max="10253" width="5" style="15" customWidth="1"/>
    <col min="10254" max="10496" width="10.9074074074074" style="15"/>
    <col min="10497" max="10497" width="16.6296296296296" style="15" customWidth="1"/>
    <col min="10498" max="10498" width="10.2685185185185" style="15" customWidth="1"/>
    <col min="10499" max="10499" width="6.62962962962963" style="15" customWidth="1"/>
    <col min="10500" max="10505" width="10.2685185185185" style="15" customWidth="1"/>
    <col min="10506" max="10506" width="6.62962962962963" style="15" customWidth="1"/>
    <col min="10507" max="10507" width="15" style="15" customWidth="1"/>
    <col min="10508" max="10508" width="9.36111111111111" style="15" customWidth="1"/>
    <col min="10509" max="10509" width="5" style="15" customWidth="1"/>
    <col min="10510" max="10752" width="10.9074074074074" style="15"/>
    <col min="10753" max="10753" width="16.6296296296296" style="15" customWidth="1"/>
    <col min="10754" max="10754" width="10.2685185185185" style="15" customWidth="1"/>
    <col min="10755" max="10755" width="6.62962962962963" style="15" customWidth="1"/>
    <col min="10756" max="10761" width="10.2685185185185" style="15" customWidth="1"/>
    <col min="10762" max="10762" width="6.62962962962963" style="15" customWidth="1"/>
    <col min="10763" max="10763" width="15" style="15" customWidth="1"/>
    <col min="10764" max="10764" width="9.36111111111111" style="15" customWidth="1"/>
    <col min="10765" max="10765" width="5" style="15" customWidth="1"/>
    <col min="10766" max="11008" width="10.9074074074074" style="15"/>
    <col min="11009" max="11009" width="16.6296296296296" style="15" customWidth="1"/>
    <col min="11010" max="11010" width="10.2685185185185" style="15" customWidth="1"/>
    <col min="11011" max="11011" width="6.62962962962963" style="15" customWidth="1"/>
    <col min="11012" max="11017" width="10.2685185185185" style="15" customWidth="1"/>
    <col min="11018" max="11018" width="6.62962962962963" style="15" customWidth="1"/>
    <col min="11019" max="11019" width="15" style="15" customWidth="1"/>
    <col min="11020" max="11020" width="9.36111111111111" style="15" customWidth="1"/>
    <col min="11021" max="11021" width="5" style="15" customWidth="1"/>
    <col min="11022" max="11264" width="10.9074074074074" style="15"/>
    <col min="11265" max="11265" width="16.6296296296296" style="15" customWidth="1"/>
    <col min="11266" max="11266" width="10.2685185185185" style="15" customWidth="1"/>
    <col min="11267" max="11267" width="6.62962962962963" style="15" customWidth="1"/>
    <col min="11268" max="11273" width="10.2685185185185" style="15" customWidth="1"/>
    <col min="11274" max="11274" width="6.62962962962963" style="15" customWidth="1"/>
    <col min="11275" max="11275" width="15" style="15" customWidth="1"/>
    <col min="11276" max="11276" width="9.36111111111111" style="15" customWidth="1"/>
    <col min="11277" max="11277" width="5" style="15" customWidth="1"/>
    <col min="11278" max="11520" width="10.9074074074074" style="15"/>
    <col min="11521" max="11521" width="16.6296296296296" style="15" customWidth="1"/>
    <col min="11522" max="11522" width="10.2685185185185" style="15" customWidth="1"/>
    <col min="11523" max="11523" width="6.62962962962963" style="15" customWidth="1"/>
    <col min="11524" max="11529" width="10.2685185185185" style="15" customWidth="1"/>
    <col min="11530" max="11530" width="6.62962962962963" style="15" customWidth="1"/>
    <col min="11531" max="11531" width="15" style="15" customWidth="1"/>
    <col min="11532" max="11532" width="9.36111111111111" style="15" customWidth="1"/>
    <col min="11533" max="11533" width="5" style="15" customWidth="1"/>
    <col min="11534" max="11776" width="10.9074074074074" style="15"/>
    <col min="11777" max="11777" width="16.6296296296296" style="15" customWidth="1"/>
    <col min="11778" max="11778" width="10.2685185185185" style="15" customWidth="1"/>
    <col min="11779" max="11779" width="6.62962962962963" style="15" customWidth="1"/>
    <col min="11780" max="11785" width="10.2685185185185" style="15" customWidth="1"/>
    <col min="11786" max="11786" width="6.62962962962963" style="15" customWidth="1"/>
    <col min="11787" max="11787" width="15" style="15" customWidth="1"/>
    <col min="11788" max="11788" width="9.36111111111111" style="15" customWidth="1"/>
    <col min="11789" max="11789" width="5" style="15" customWidth="1"/>
    <col min="11790" max="12032" width="10.9074074074074" style="15"/>
    <col min="12033" max="12033" width="16.6296296296296" style="15" customWidth="1"/>
    <col min="12034" max="12034" width="10.2685185185185" style="15" customWidth="1"/>
    <col min="12035" max="12035" width="6.62962962962963" style="15" customWidth="1"/>
    <col min="12036" max="12041" width="10.2685185185185" style="15" customWidth="1"/>
    <col min="12042" max="12042" width="6.62962962962963" style="15" customWidth="1"/>
    <col min="12043" max="12043" width="15" style="15" customWidth="1"/>
    <col min="12044" max="12044" width="9.36111111111111" style="15" customWidth="1"/>
    <col min="12045" max="12045" width="5" style="15" customWidth="1"/>
    <col min="12046" max="12288" width="10.9074074074074" style="15"/>
    <col min="12289" max="12289" width="16.6296296296296" style="15" customWidth="1"/>
    <col min="12290" max="12290" width="10.2685185185185" style="15" customWidth="1"/>
    <col min="12291" max="12291" width="6.62962962962963" style="15" customWidth="1"/>
    <col min="12292" max="12297" width="10.2685185185185" style="15" customWidth="1"/>
    <col min="12298" max="12298" width="6.62962962962963" style="15" customWidth="1"/>
    <col min="12299" max="12299" width="15" style="15" customWidth="1"/>
    <col min="12300" max="12300" width="9.36111111111111" style="15" customWidth="1"/>
    <col min="12301" max="12301" width="5" style="15" customWidth="1"/>
    <col min="12302" max="12544" width="10.9074074074074" style="15"/>
    <col min="12545" max="12545" width="16.6296296296296" style="15" customWidth="1"/>
    <col min="12546" max="12546" width="10.2685185185185" style="15" customWidth="1"/>
    <col min="12547" max="12547" width="6.62962962962963" style="15" customWidth="1"/>
    <col min="12548" max="12553" width="10.2685185185185" style="15" customWidth="1"/>
    <col min="12554" max="12554" width="6.62962962962963" style="15" customWidth="1"/>
    <col min="12555" max="12555" width="15" style="15" customWidth="1"/>
    <col min="12556" max="12556" width="9.36111111111111" style="15" customWidth="1"/>
    <col min="12557" max="12557" width="5" style="15" customWidth="1"/>
    <col min="12558" max="12800" width="10.9074074074074" style="15"/>
    <col min="12801" max="12801" width="16.6296296296296" style="15" customWidth="1"/>
    <col min="12802" max="12802" width="10.2685185185185" style="15" customWidth="1"/>
    <col min="12803" max="12803" width="6.62962962962963" style="15" customWidth="1"/>
    <col min="12804" max="12809" width="10.2685185185185" style="15" customWidth="1"/>
    <col min="12810" max="12810" width="6.62962962962963" style="15" customWidth="1"/>
    <col min="12811" max="12811" width="15" style="15" customWidth="1"/>
    <col min="12812" max="12812" width="9.36111111111111" style="15" customWidth="1"/>
    <col min="12813" max="12813" width="5" style="15" customWidth="1"/>
    <col min="12814" max="13056" width="10.9074074074074" style="15"/>
    <col min="13057" max="13057" width="16.6296296296296" style="15" customWidth="1"/>
    <col min="13058" max="13058" width="10.2685185185185" style="15" customWidth="1"/>
    <col min="13059" max="13059" width="6.62962962962963" style="15" customWidth="1"/>
    <col min="13060" max="13065" width="10.2685185185185" style="15" customWidth="1"/>
    <col min="13066" max="13066" width="6.62962962962963" style="15" customWidth="1"/>
    <col min="13067" max="13067" width="15" style="15" customWidth="1"/>
    <col min="13068" max="13068" width="9.36111111111111" style="15" customWidth="1"/>
    <col min="13069" max="13069" width="5" style="15" customWidth="1"/>
    <col min="13070" max="13312" width="10.9074074074074" style="15"/>
    <col min="13313" max="13313" width="16.6296296296296" style="15" customWidth="1"/>
    <col min="13314" max="13314" width="10.2685185185185" style="15" customWidth="1"/>
    <col min="13315" max="13315" width="6.62962962962963" style="15" customWidth="1"/>
    <col min="13316" max="13321" width="10.2685185185185" style="15" customWidth="1"/>
    <col min="13322" max="13322" width="6.62962962962963" style="15" customWidth="1"/>
    <col min="13323" max="13323" width="15" style="15" customWidth="1"/>
    <col min="13324" max="13324" width="9.36111111111111" style="15" customWidth="1"/>
    <col min="13325" max="13325" width="5" style="15" customWidth="1"/>
    <col min="13326" max="13568" width="10.9074074074074" style="15"/>
    <col min="13569" max="13569" width="16.6296296296296" style="15" customWidth="1"/>
    <col min="13570" max="13570" width="10.2685185185185" style="15" customWidth="1"/>
    <col min="13571" max="13571" width="6.62962962962963" style="15" customWidth="1"/>
    <col min="13572" max="13577" width="10.2685185185185" style="15" customWidth="1"/>
    <col min="13578" max="13578" width="6.62962962962963" style="15" customWidth="1"/>
    <col min="13579" max="13579" width="15" style="15" customWidth="1"/>
    <col min="13580" max="13580" width="9.36111111111111" style="15" customWidth="1"/>
    <col min="13581" max="13581" width="5" style="15" customWidth="1"/>
    <col min="13582" max="13824" width="10.9074074074074" style="15"/>
    <col min="13825" max="13825" width="16.6296296296296" style="15" customWidth="1"/>
    <col min="13826" max="13826" width="10.2685185185185" style="15" customWidth="1"/>
    <col min="13827" max="13827" width="6.62962962962963" style="15" customWidth="1"/>
    <col min="13828" max="13833" width="10.2685185185185" style="15" customWidth="1"/>
    <col min="13834" max="13834" width="6.62962962962963" style="15" customWidth="1"/>
    <col min="13835" max="13835" width="15" style="15" customWidth="1"/>
    <col min="13836" max="13836" width="9.36111111111111" style="15" customWidth="1"/>
    <col min="13837" max="13837" width="5" style="15" customWidth="1"/>
    <col min="13838" max="14080" width="10.9074074074074" style="15"/>
    <col min="14081" max="14081" width="16.6296296296296" style="15" customWidth="1"/>
    <col min="14082" max="14082" width="10.2685185185185" style="15" customWidth="1"/>
    <col min="14083" max="14083" width="6.62962962962963" style="15" customWidth="1"/>
    <col min="14084" max="14089" width="10.2685185185185" style="15" customWidth="1"/>
    <col min="14090" max="14090" width="6.62962962962963" style="15" customWidth="1"/>
    <col min="14091" max="14091" width="15" style="15" customWidth="1"/>
    <col min="14092" max="14092" width="9.36111111111111" style="15" customWidth="1"/>
    <col min="14093" max="14093" width="5" style="15" customWidth="1"/>
    <col min="14094" max="14336" width="10.9074074074074" style="15"/>
    <col min="14337" max="14337" width="16.6296296296296" style="15" customWidth="1"/>
    <col min="14338" max="14338" width="10.2685185185185" style="15" customWidth="1"/>
    <col min="14339" max="14339" width="6.62962962962963" style="15" customWidth="1"/>
    <col min="14340" max="14345" width="10.2685185185185" style="15" customWidth="1"/>
    <col min="14346" max="14346" width="6.62962962962963" style="15" customWidth="1"/>
    <col min="14347" max="14347" width="15" style="15" customWidth="1"/>
    <col min="14348" max="14348" width="9.36111111111111" style="15" customWidth="1"/>
    <col min="14349" max="14349" width="5" style="15" customWidth="1"/>
    <col min="14350" max="14592" width="10.9074074074074" style="15"/>
    <col min="14593" max="14593" width="16.6296296296296" style="15" customWidth="1"/>
    <col min="14594" max="14594" width="10.2685185185185" style="15" customWidth="1"/>
    <col min="14595" max="14595" width="6.62962962962963" style="15" customWidth="1"/>
    <col min="14596" max="14601" width="10.2685185185185" style="15" customWidth="1"/>
    <col min="14602" max="14602" width="6.62962962962963" style="15" customWidth="1"/>
    <col min="14603" max="14603" width="15" style="15" customWidth="1"/>
    <col min="14604" max="14604" width="9.36111111111111" style="15" customWidth="1"/>
    <col min="14605" max="14605" width="5" style="15" customWidth="1"/>
    <col min="14606" max="14848" width="10.9074074074074" style="15"/>
    <col min="14849" max="14849" width="16.6296296296296" style="15" customWidth="1"/>
    <col min="14850" max="14850" width="10.2685185185185" style="15" customWidth="1"/>
    <col min="14851" max="14851" width="6.62962962962963" style="15" customWidth="1"/>
    <col min="14852" max="14857" width="10.2685185185185" style="15" customWidth="1"/>
    <col min="14858" max="14858" width="6.62962962962963" style="15" customWidth="1"/>
    <col min="14859" max="14859" width="15" style="15" customWidth="1"/>
    <col min="14860" max="14860" width="9.36111111111111" style="15" customWidth="1"/>
    <col min="14861" max="14861" width="5" style="15" customWidth="1"/>
    <col min="14862" max="15104" width="10.9074074074074" style="15"/>
    <col min="15105" max="15105" width="16.6296296296296" style="15" customWidth="1"/>
    <col min="15106" max="15106" width="10.2685185185185" style="15" customWidth="1"/>
    <col min="15107" max="15107" width="6.62962962962963" style="15" customWidth="1"/>
    <col min="15108" max="15113" width="10.2685185185185" style="15" customWidth="1"/>
    <col min="15114" max="15114" width="6.62962962962963" style="15" customWidth="1"/>
    <col min="15115" max="15115" width="15" style="15" customWidth="1"/>
    <col min="15116" max="15116" width="9.36111111111111" style="15" customWidth="1"/>
    <col min="15117" max="15117" width="5" style="15" customWidth="1"/>
    <col min="15118" max="15360" width="10.9074074074074" style="15"/>
    <col min="15361" max="15361" width="16.6296296296296" style="15" customWidth="1"/>
    <col min="15362" max="15362" width="10.2685185185185" style="15" customWidth="1"/>
    <col min="15363" max="15363" width="6.62962962962963" style="15" customWidth="1"/>
    <col min="15364" max="15369" width="10.2685185185185" style="15" customWidth="1"/>
    <col min="15370" max="15370" width="6.62962962962963" style="15" customWidth="1"/>
    <col min="15371" max="15371" width="15" style="15" customWidth="1"/>
    <col min="15372" max="15372" width="9.36111111111111" style="15" customWidth="1"/>
    <col min="15373" max="15373" width="5" style="15" customWidth="1"/>
    <col min="15374" max="15616" width="10.9074074074074" style="15"/>
    <col min="15617" max="15617" width="16.6296296296296" style="15" customWidth="1"/>
    <col min="15618" max="15618" width="10.2685185185185" style="15" customWidth="1"/>
    <col min="15619" max="15619" width="6.62962962962963" style="15" customWidth="1"/>
    <col min="15620" max="15625" width="10.2685185185185" style="15" customWidth="1"/>
    <col min="15626" max="15626" width="6.62962962962963" style="15" customWidth="1"/>
    <col min="15627" max="15627" width="15" style="15" customWidth="1"/>
    <col min="15628" max="15628" width="9.36111111111111" style="15" customWidth="1"/>
    <col min="15629" max="15629" width="5" style="15" customWidth="1"/>
    <col min="15630" max="15872" width="10.9074074074074" style="15"/>
    <col min="15873" max="15873" width="16.6296296296296" style="15" customWidth="1"/>
    <col min="15874" max="15874" width="10.2685185185185" style="15" customWidth="1"/>
    <col min="15875" max="15875" width="6.62962962962963" style="15" customWidth="1"/>
    <col min="15876" max="15881" width="10.2685185185185" style="15" customWidth="1"/>
    <col min="15882" max="15882" width="6.62962962962963" style="15" customWidth="1"/>
    <col min="15883" max="15883" width="15" style="15" customWidth="1"/>
    <col min="15884" max="15884" width="9.36111111111111" style="15" customWidth="1"/>
    <col min="15885" max="15885" width="5" style="15" customWidth="1"/>
    <col min="15886" max="16128" width="10.9074074074074" style="15"/>
    <col min="16129" max="16129" width="16.6296296296296" style="15" customWidth="1"/>
    <col min="16130" max="16130" width="10.2685185185185" style="15" customWidth="1"/>
    <col min="16131" max="16131" width="6.62962962962963" style="15" customWidth="1"/>
    <col min="16132" max="16137" width="10.2685185185185" style="15" customWidth="1"/>
    <col min="16138" max="16138" width="6.62962962962963" style="15" customWidth="1"/>
    <col min="16139" max="16139" width="15" style="15" customWidth="1"/>
    <col min="16140" max="16140" width="9.36111111111111" style="15" customWidth="1"/>
    <col min="16141" max="16141" width="5" style="15" customWidth="1"/>
    <col min="16142" max="16384" width="10.9074074074074" style="15"/>
  </cols>
  <sheetData>
    <row r="1" s="54" customFormat="1" ht="17.4" spans="1:13">
      <c r="A1" s="59" t="s">
        <v>9</v>
      </c>
      <c r="B1" s="60"/>
      <c r="C1" s="60"/>
      <c r="D1" s="60"/>
      <c r="E1" s="60"/>
      <c r="F1" s="60"/>
      <c r="G1" s="60"/>
      <c r="H1" s="60"/>
      <c r="I1" s="60"/>
      <c r="J1" s="60"/>
      <c r="K1" s="60"/>
      <c r="L1" s="60"/>
      <c r="M1" s="79"/>
    </row>
    <row r="2" s="54" customFormat="1" spans="1:13">
      <c r="A2" s="61" t="s">
        <v>10</v>
      </c>
      <c r="B2" s="62" t="s">
        <v>11</v>
      </c>
      <c r="C2" s="62"/>
      <c r="D2" s="62"/>
      <c r="E2" s="62"/>
      <c r="F2" s="62"/>
      <c r="G2" s="62"/>
      <c r="H2" s="62"/>
      <c r="I2" s="62"/>
      <c r="J2" s="62"/>
      <c r="K2" s="62"/>
      <c r="L2" s="62"/>
      <c r="M2" s="80"/>
    </row>
    <row r="3" s="54" customFormat="1" spans="1:13">
      <c r="A3" s="61" t="s">
        <v>12</v>
      </c>
      <c r="B3" s="62">
        <v>20260304</v>
      </c>
      <c r="C3" s="62"/>
      <c r="D3" s="62"/>
      <c r="E3" s="62"/>
      <c r="F3" s="62"/>
      <c r="G3" s="62"/>
      <c r="H3" s="62"/>
      <c r="I3" s="62"/>
      <c r="J3" s="62"/>
      <c r="K3" s="62"/>
      <c r="L3" s="62"/>
      <c r="M3" s="80"/>
    </row>
    <row r="4" s="54" customFormat="1" spans="1:13">
      <c r="A4" s="61" t="s">
        <v>13</v>
      </c>
      <c r="B4" s="62" t="s">
        <v>14</v>
      </c>
      <c r="C4" s="62"/>
      <c r="D4" s="62"/>
      <c r="E4" s="62"/>
      <c r="F4" s="62"/>
      <c r="G4" s="62"/>
      <c r="H4" s="62"/>
      <c r="I4" s="62"/>
      <c r="J4" s="62"/>
      <c r="K4" s="62"/>
      <c r="L4" s="62"/>
      <c r="M4" s="80"/>
    </row>
    <row r="5" s="54" customFormat="1" spans="1:13">
      <c r="A5" s="61" t="s">
        <v>15</v>
      </c>
      <c r="B5" s="63" t="s">
        <v>16</v>
      </c>
      <c r="C5" s="64"/>
      <c r="D5" s="64"/>
      <c r="E5" s="64"/>
      <c r="F5" s="64"/>
      <c r="G5" s="64"/>
      <c r="H5" s="64"/>
      <c r="I5" s="64"/>
      <c r="J5" s="64"/>
      <c r="K5" s="64"/>
      <c r="L5" s="64"/>
      <c r="M5" s="81"/>
    </row>
    <row r="6" s="54" customFormat="1" spans="1:13">
      <c r="A6" s="65" t="s">
        <v>17</v>
      </c>
      <c r="B6" s="62">
        <f>D15</f>
        <v>3</v>
      </c>
      <c r="C6" s="62"/>
      <c r="D6" s="62"/>
      <c r="E6" s="62"/>
      <c r="F6" s="62"/>
      <c r="G6" s="62"/>
      <c r="H6" s="62"/>
      <c r="I6" s="62"/>
      <c r="J6" s="62"/>
      <c r="K6" s="62"/>
      <c r="L6" s="62"/>
      <c r="M6" s="80"/>
    </row>
    <row r="7" s="54" customFormat="1" spans="1:13">
      <c r="A7" s="65" t="s">
        <v>18</v>
      </c>
      <c r="B7" s="62">
        <f>E15</f>
        <v>3</v>
      </c>
      <c r="C7" s="62"/>
      <c r="D7" s="62"/>
      <c r="E7" s="62"/>
      <c r="F7" s="62"/>
      <c r="G7" s="62"/>
      <c r="H7" s="62"/>
      <c r="I7" s="62"/>
      <c r="J7" s="62"/>
      <c r="K7" s="62"/>
      <c r="L7" s="62"/>
      <c r="M7" s="80"/>
    </row>
    <row r="8" s="54" customFormat="1" spans="1:13">
      <c r="A8" s="65" t="s">
        <v>19</v>
      </c>
      <c r="B8" s="62">
        <f>F15</f>
        <v>3</v>
      </c>
      <c r="C8" s="62"/>
      <c r="D8" s="62"/>
      <c r="E8" s="62"/>
      <c r="F8" s="62"/>
      <c r="G8" s="62"/>
      <c r="H8" s="62"/>
      <c r="I8" s="62"/>
      <c r="J8" s="62"/>
      <c r="K8" s="62"/>
      <c r="L8" s="62"/>
      <c r="M8" s="80"/>
    </row>
    <row r="9" s="54" customFormat="1" spans="1:13">
      <c r="A9" s="65" t="s">
        <v>20</v>
      </c>
      <c r="B9" s="62">
        <f>SUM(G15:G22)</f>
        <v>0</v>
      </c>
      <c r="C9" s="62"/>
      <c r="D9" s="62"/>
      <c r="E9" s="62"/>
      <c r="F9" s="62"/>
      <c r="G9" s="62"/>
      <c r="H9" s="62"/>
      <c r="I9" s="62"/>
      <c r="J9" s="62"/>
      <c r="K9" s="62"/>
      <c r="L9" s="62"/>
      <c r="M9" s="80"/>
    </row>
    <row r="10" s="54" customFormat="1" spans="1:13">
      <c r="A10" s="65" t="s">
        <v>21</v>
      </c>
      <c r="B10" s="62">
        <f>SUM(H15:H22)</f>
        <v>0</v>
      </c>
      <c r="C10" s="62"/>
      <c r="D10" s="62"/>
      <c r="E10" s="62"/>
      <c r="F10" s="62"/>
      <c r="G10" s="62"/>
      <c r="H10" s="62"/>
      <c r="I10" s="62"/>
      <c r="J10" s="62"/>
      <c r="K10" s="62"/>
      <c r="L10" s="62"/>
      <c r="M10" s="80"/>
    </row>
    <row r="11" s="54" customFormat="1" spans="1:13">
      <c r="A11" s="65" t="s">
        <v>22</v>
      </c>
      <c r="B11" s="62">
        <f>SUM(I15:I23)</f>
        <v>0</v>
      </c>
      <c r="C11" s="62"/>
      <c r="D11" s="62"/>
      <c r="E11" s="62"/>
      <c r="F11" s="62"/>
      <c r="G11" s="62"/>
      <c r="H11" s="62"/>
      <c r="I11" s="62"/>
      <c r="J11" s="62"/>
      <c r="K11" s="62"/>
      <c r="L11" s="62"/>
      <c r="M11" s="80"/>
    </row>
    <row r="12" s="54" customFormat="1" spans="1:13">
      <c r="A12" s="61" t="s">
        <v>23</v>
      </c>
      <c r="B12" s="62">
        <f>缺陷记录!B3</f>
        <v>0</v>
      </c>
      <c r="C12" s="62"/>
      <c r="D12" s="62"/>
      <c r="E12" s="62"/>
      <c r="F12" s="62"/>
      <c r="G12" s="62"/>
      <c r="H12" s="62"/>
      <c r="I12" s="62"/>
      <c r="J12" s="62"/>
      <c r="K12" s="62"/>
      <c r="L12" s="62"/>
      <c r="M12" s="80"/>
    </row>
    <row r="13" s="54" customFormat="1" spans="1:13">
      <c r="A13" s="61" t="s">
        <v>24</v>
      </c>
      <c r="B13" s="62">
        <f>缺陷记录!B7</f>
        <v>0</v>
      </c>
      <c r="C13" s="62"/>
      <c r="D13" s="62"/>
      <c r="E13" s="62"/>
      <c r="F13" s="62"/>
      <c r="G13" s="62"/>
      <c r="H13" s="62"/>
      <c r="I13" s="62"/>
      <c r="J13" s="62"/>
      <c r="K13" s="62"/>
      <c r="L13" s="62"/>
      <c r="M13" s="80"/>
    </row>
    <row r="14" s="55" customFormat="1" ht="16.2" spans="1:13">
      <c r="A14" s="66" t="s">
        <v>25</v>
      </c>
      <c r="B14" s="67" t="s">
        <v>26</v>
      </c>
      <c r="C14" s="67" t="s">
        <v>27</v>
      </c>
      <c r="D14" s="68" t="s">
        <v>28</v>
      </c>
      <c r="E14" s="68" t="s">
        <v>29</v>
      </c>
      <c r="F14" s="67" t="s">
        <v>30</v>
      </c>
      <c r="G14" s="67" t="s">
        <v>31</v>
      </c>
      <c r="H14" s="67" t="s">
        <v>32</v>
      </c>
      <c r="I14" s="67" t="s">
        <v>33</v>
      </c>
      <c r="J14" s="82" t="s">
        <v>34</v>
      </c>
      <c r="K14" s="67" t="s">
        <v>35</v>
      </c>
      <c r="L14" s="82" t="s">
        <v>36</v>
      </c>
      <c r="M14" s="83" t="s">
        <v>5</v>
      </c>
    </row>
    <row r="15" s="56" customFormat="1" ht="36" spans="1:13">
      <c r="A15" s="69">
        <v>1</v>
      </c>
      <c r="B15" s="70" t="s">
        <v>37</v>
      </c>
      <c r="C15" s="71" t="s">
        <v>7</v>
      </c>
      <c r="D15" s="71">
        <v>3</v>
      </c>
      <c r="E15" s="71">
        <v>3</v>
      </c>
      <c r="F15" s="71">
        <v>3</v>
      </c>
      <c r="G15" s="71">
        <v>0</v>
      </c>
      <c r="H15" s="71">
        <v>0</v>
      </c>
      <c r="I15" s="71">
        <v>0</v>
      </c>
      <c r="J15" s="84">
        <f>F15/E15</f>
        <v>1</v>
      </c>
      <c r="K15" s="71"/>
      <c r="L15" s="71">
        <v>20260303</v>
      </c>
      <c r="M15" s="85"/>
    </row>
    <row r="16" s="57" customFormat="1" ht="12" spans="1:13">
      <c r="A16" s="72"/>
      <c r="B16" s="73"/>
      <c r="C16" s="74"/>
      <c r="D16" s="74"/>
      <c r="E16" s="74"/>
      <c r="F16" s="74"/>
      <c r="G16" s="74"/>
      <c r="H16" s="74"/>
      <c r="I16" s="74"/>
      <c r="J16" s="86"/>
      <c r="K16" s="74"/>
      <c r="L16" s="86"/>
      <c r="M16" s="87"/>
    </row>
    <row r="17" s="57" customFormat="1" ht="12" spans="1:13">
      <c r="A17" s="72"/>
      <c r="B17" s="73"/>
      <c r="C17" s="74"/>
      <c r="D17" s="74"/>
      <c r="E17" s="74"/>
      <c r="F17" s="74"/>
      <c r="G17" s="74"/>
      <c r="H17" s="74"/>
      <c r="I17" s="74"/>
      <c r="J17" s="86"/>
      <c r="K17" s="74"/>
      <c r="L17" s="86"/>
      <c r="M17" s="87"/>
    </row>
    <row r="18" s="57" customFormat="1" ht="12" spans="1:13">
      <c r="A18" s="72"/>
      <c r="B18" s="73"/>
      <c r="C18" s="74"/>
      <c r="D18" s="74"/>
      <c r="E18" s="74"/>
      <c r="F18" s="74"/>
      <c r="G18" s="74"/>
      <c r="H18" s="74"/>
      <c r="I18" s="74"/>
      <c r="J18" s="86"/>
      <c r="K18" s="74"/>
      <c r="L18" s="86"/>
      <c r="M18" s="87"/>
    </row>
    <row r="19" s="57" customFormat="1" ht="12" spans="1:13">
      <c r="A19" s="72"/>
      <c r="B19" s="73"/>
      <c r="C19" s="74"/>
      <c r="D19" s="74"/>
      <c r="E19" s="74"/>
      <c r="F19" s="74"/>
      <c r="G19" s="74"/>
      <c r="H19" s="74"/>
      <c r="I19" s="74"/>
      <c r="J19" s="86"/>
      <c r="K19" s="74"/>
      <c r="L19" s="86"/>
      <c r="M19" s="87"/>
    </row>
    <row r="20" s="57" customFormat="1" ht="12" spans="1:13">
      <c r="A20" s="75"/>
      <c r="B20" s="73"/>
      <c r="C20" s="74"/>
      <c r="D20" s="74"/>
      <c r="E20" s="74"/>
      <c r="F20" s="74"/>
      <c r="G20" s="74"/>
      <c r="H20" s="74"/>
      <c r="I20" s="74"/>
      <c r="J20" s="86"/>
      <c r="K20" s="74"/>
      <c r="L20" s="86"/>
      <c r="M20" s="87"/>
    </row>
    <row r="21" s="57" customFormat="1" ht="12" spans="1:13">
      <c r="A21" s="75"/>
      <c r="B21" s="73"/>
      <c r="C21" s="74"/>
      <c r="D21" s="74"/>
      <c r="E21" s="74"/>
      <c r="F21" s="74"/>
      <c r="G21" s="74"/>
      <c r="H21" s="74"/>
      <c r="I21" s="74"/>
      <c r="J21" s="86"/>
      <c r="K21" s="74"/>
      <c r="L21" s="86"/>
      <c r="M21" s="87"/>
    </row>
    <row r="22" ht="15.15" spans="1:13">
      <c r="A22" s="76"/>
      <c r="B22" s="77"/>
      <c r="C22" s="78"/>
      <c r="D22" s="78"/>
      <c r="E22" s="78"/>
      <c r="F22" s="78"/>
      <c r="G22" s="78"/>
      <c r="H22" s="78"/>
      <c r="I22" s="78"/>
      <c r="J22" s="88"/>
      <c r="K22" s="78"/>
      <c r="L22" s="88"/>
      <c r="M22" s="89"/>
    </row>
  </sheetData>
  <mergeCells count="13">
    <mergeCell ref="A1:M1"/>
    <mergeCell ref="B2:M2"/>
    <mergeCell ref="B3:M3"/>
    <mergeCell ref="B4:M4"/>
    <mergeCell ref="B5:M5"/>
    <mergeCell ref="B6:M6"/>
    <mergeCell ref="B7:M7"/>
    <mergeCell ref="B8:M8"/>
    <mergeCell ref="B9:M9"/>
    <mergeCell ref="B10:M10"/>
    <mergeCell ref="B11:M11"/>
    <mergeCell ref="B12:M12"/>
    <mergeCell ref="B13:M13"/>
  </mergeCells>
  <pageMargins left="0.75" right="0.75" top="1" bottom="1" header="0.5" footer="0.5"/>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
  <sheetViews>
    <sheetView tabSelected="1" workbookViewId="0">
      <selection activeCell="B11" sqref="B11"/>
    </sheetView>
  </sheetViews>
  <sheetFormatPr defaultColWidth="9" defaultRowHeight="12"/>
  <cols>
    <col min="1" max="1" width="16.0925925925926" style="44" customWidth="1"/>
    <col min="2" max="2" width="39.2222222222222" style="44" customWidth="1"/>
    <col min="3" max="3" width="44.1111111111111" style="44" customWidth="1"/>
    <col min="4" max="4" width="12" style="44" customWidth="1"/>
    <col min="5" max="5" width="12.4444444444444" style="44" customWidth="1"/>
    <col min="6" max="6" width="44.0925925925926" style="44" customWidth="1"/>
    <col min="7" max="7" width="29" style="44" customWidth="1"/>
    <col min="8" max="9" width="15" style="44" customWidth="1"/>
    <col min="10" max="10" width="17.0925925925926" style="44" customWidth="1"/>
    <col min="11" max="11" width="11.6296296296296" style="44" customWidth="1"/>
    <col min="12" max="12" width="14.2685185185185" style="44" customWidth="1"/>
    <col min="13" max="13" width="12.9074074074074" style="44" customWidth="1"/>
    <col min="14" max="16384" width="9" style="44"/>
  </cols>
  <sheetData>
    <row r="1" ht="13.5" customHeight="1" spans="1:6">
      <c r="A1" s="45" t="s">
        <v>38</v>
      </c>
      <c r="B1" s="46" t="s">
        <v>39</v>
      </c>
      <c r="C1" s="46"/>
      <c r="D1" s="46"/>
      <c r="E1" s="46"/>
      <c r="F1" s="46"/>
    </row>
    <row r="2" ht="17.25" customHeight="1" spans="1:6">
      <c r="A2" s="45" t="s">
        <v>40</v>
      </c>
      <c r="B2" s="46" t="s">
        <v>7</v>
      </c>
      <c r="C2" s="46"/>
      <c r="D2" s="46"/>
      <c r="E2" s="46"/>
      <c r="F2" s="46"/>
    </row>
    <row r="3" ht="15.75" customHeight="1" spans="1:6">
      <c r="A3" s="45" t="s">
        <v>41</v>
      </c>
      <c r="B3" s="46" t="s">
        <v>7</v>
      </c>
      <c r="C3" s="46"/>
      <c r="D3" s="46"/>
      <c r="E3" s="46"/>
      <c r="F3" s="46"/>
    </row>
    <row r="4" ht="15" customHeight="1" spans="1:6">
      <c r="A4" s="45" t="s">
        <v>42</v>
      </c>
      <c r="B4" s="31">
        <v>3</v>
      </c>
      <c r="C4" s="31"/>
      <c r="D4" s="31"/>
      <c r="E4" s="31"/>
      <c r="F4" s="31"/>
    </row>
    <row r="5" spans="1:6">
      <c r="A5" s="45" t="s">
        <v>43</v>
      </c>
      <c r="B5" s="31">
        <v>3</v>
      </c>
      <c r="C5" s="31"/>
      <c r="D5" s="31"/>
      <c r="E5" s="31"/>
      <c r="F5" s="31"/>
    </row>
    <row r="6" spans="1:6">
      <c r="A6" s="45" t="s">
        <v>44</v>
      </c>
      <c r="B6" s="31">
        <f>COUNTIF(J:J,"反向案例")</f>
        <v>0</v>
      </c>
      <c r="C6" s="31"/>
      <c r="D6" s="31"/>
      <c r="E6" s="31"/>
      <c r="F6" s="31"/>
    </row>
    <row r="7" spans="1:6">
      <c r="A7" s="45" t="s">
        <v>45</v>
      </c>
      <c r="B7" s="31">
        <f>COUNTIF(K:K,"失败")</f>
        <v>0</v>
      </c>
      <c r="C7" s="31"/>
      <c r="D7" s="31"/>
      <c r="E7" s="31"/>
      <c r="F7" s="31"/>
    </row>
    <row r="8" spans="1:6">
      <c r="A8" s="45" t="s">
        <v>46</v>
      </c>
      <c r="B8" s="31">
        <v>3</v>
      </c>
      <c r="C8" s="31"/>
      <c r="D8" s="31"/>
      <c r="E8" s="31"/>
      <c r="F8" s="31"/>
    </row>
    <row r="9" ht="15.6" spans="1:14">
      <c r="A9" s="47" t="s">
        <v>47</v>
      </c>
      <c r="B9" s="47" t="s">
        <v>48</v>
      </c>
      <c r="C9" s="47" t="s">
        <v>49</v>
      </c>
      <c r="D9" s="47" t="s">
        <v>50</v>
      </c>
      <c r="E9" s="47" t="s">
        <v>51</v>
      </c>
      <c r="F9" s="47" t="s">
        <v>52</v>
      </c>
      <c r="G9" s="47" t="s">
        <v>53</v>
      </c>
      <c r="H9" s="47" t="s">
        <v>54</v>
      </c>
      <c r="I9" s="47" t="s">
        <v>55</v>
      </c>
      <c r="J9" s="47" t="s">
        <v>56</v>
      </c>
      <c r="K9" s="47" t="s">
        <v>57</v>
      </c>
      <c r="L9" s="47" t="s">
        <v>58</v>
      </c>
      <c r="M9" s="47" t="s">
        <v>59</v>
      </c>
      <c r="N9" s="51" t="s">
        <v>5</v>
      </c>
    </row>
    <row r="10" s="43" customFormat="1" ht="54" customHeight="1" spans="1:13">
      <c r="A10" s="48">
        <v>1</v>
      </c>
      <c r="B10" s="43" t="s">
        <v>60</v>
      </c>
      <c r="C10" s="43" t="s">
        <v>61</v>
      </c>
      <c r="D10" s="49" t="s">
        <v>62</v>
      </c>
      <c r="E10" s="49" t="s">
        <v>62</v>
      </c>
      <c r="F10" s="43" t="s">
        <v>63</v>
      </c>
      <c r="G10" s="50" t="s">
        <v>64</v>
      </c>
      <c r="H10" s="43" t="s">
        <v>65</v>
      </c>
      <c r="I10" s="52" t="s">
        <v>66</v>
      </c>
      <c r="J10" s="52" t="s">
        <v>67</v>
      </c>
      <c r="K10" s="52" t="s">
        <v>68</v>
      </c>
      <c r="L10" s="53">
        <v>46084</v>
      </c>
      <c r="M10" s="52" t="s">
        <v>7</v>
      </c>
    </row>
    <row r="11" s="43" customFormat="1" ht="54" customHeight="1" spans="1:13">
      <c r="A11" s="48">
        <v>2</v>
      </c>
      <c r="B11" s="43" t="s">
        <v>69</v>
      </c>
      <c r="C11" s="43" t="s">
        <v>70</v>
      </c>
      <c r="D11" s="49" t="s">
        <v>62</v>
      </c>
      <c r="E11" s="49" t="s">
        <v>62</v>
      </c>
      <c r="F11" s="43" t="s">
        <v>71</v>
      </c>
      <c r="G11" s="50" t="s">
        <v>64</v>
      </c>
      <c r="H11" s="43" t="s">
        <v>65</v>
      </c>
      <c r="I11" s="52" t="s">
        <v>66</v>
      </c>
      <c r="J11" s="52" t="s">
        <v>67</v>
      </c>
      <c r="K11" s="52" t="s">
        <v>68</v>
      </c>
      <c r="L11" s="53">
        <v>46084</v>
      </c>
      <c r="M11" s="52" t="s">
        <v>7</v>
      </c>
    </row>
    <row r="12" s="43" customFormat="1" ht="54" customHeight="1" spans="1:13">
      <c r="A12" s="48">
        <v>3</v>
      </c>
      <c r="B12" s="43" t="s">
        <v>72</v>
      </c>
      <c r="C12" s="43" t="s">
        <v>73</v>
      </c>
      <c r="D12" s="49" t="s">
        <v>62</v>
      </c>
      <c r="E12" s="49" t="s">
        <v>62</v>
      </c>
      <c r="F12" s="43" t="s">
        <v>71</v>
      </c>
      <c r="G12" s="50" t="s">
        <v>64</v>
      </c>
      <c r="H12" s="43" t="s">
        <v>65</v>
      </c>
      <c r="I12" s="52" t="s">
        <v>66</v>
      </c>
      <c r="J12" s="52" t="s">
        <v>67</v>
      </c>
      <c r="K12" s="52" t="s">
        <v>68</v>
      </c>
      <c r="L12" s="53">
        <v>46084</v>
      </c>
      <c r="M12" s="52" t="s">
        <v>7</v>
      </c>
    </row>
  </sheetData>
  <autoFilter xmlns:etc="http://www.wps.cn/officeDocument/2017/etCustomData" ref="A9:N12" etc:filterBottomFollowUsedRange="0">
    <extLst/>
  </autoFilter>
  <mergeCells count="8">
    <mergeCell ref="B1:F1"/>
    <mergeCell ref="B2:F2"/>
    <mergeCell ref="B3:F3"/>
    <mergeCell ref="B4:F4"/>
    <mergeCell ref="B5:F5"/>
    <mergeCell ref="B6:F6"/>
    <mergeCell ref="B7:F7"/>
    <mergeCell ref="B8:F8"/>
  </mergeCells>
  <dataValidations count="3">
    <dataValidation type="list" allowBlank="1" showInputMessage="1" showErrorMessage="1" sqref="I10:I12">
      <formula1>"防重,防错,防漏,防延时,专项防差错,非批处理"</formula1>
    </dataValidation>
    <dataValidation type="list" allowBlank="1" showInputMessage="1" showErrorMessage="1" sqref="J10:J12">
      <formula1>"正向案例,反向案例,非批处理"</formula1>
    </dataValidation>
    <dataValidation type="list" allowBlank="1" showInputMessage="1" showErrorMessage="1" sqref="K10:K12">
      <formula1>"通过,失败"</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Q12"/>
  <sheetViews>
    <sheetView workbookViewId="0">
      <selection activeCell="B2" sqref="B2:E2"/>
    </sheetView>
  </sheetViews>
  <sheetFormatPr defaultColWidth="9" defaultRowHeight="12"/>
  <cols>
    <col min="1" max="1" width="11" style="25" customWidth="1"/>
    <col min="2" max="2" width="10.4537037037037" style="26" customWidth="1"/>
    <col min="3" max="4" width="12.2685185185185" style="26" customWidth="1"/>
    <col min="5" max="5" width="10.4537037037037" style="26" customWidth="1"/>
    <col min="6" max="6" width="12.2685185185185" style="25" customWidth="1"/>
    <col min="7" max="7" width="19.9074074074074" style="25" customWidth="1"/>
    <col min="8" max="10" width="12.2685185185185" style="26" customWidth="1"/>
    <col min="11" max="11" width="15.0925925925926" style="26" customWidth="1"/>
    <col min="12" max="12" width="12.2685185185185" style="25" customWidth="1"/>
    <col min="13" max="13" width="10.4537037037037" style="26" customWidth="1"/>
    <col min="14" max="14" width="12.2685185185185" style="26" customWidth="1"/>
    <col min="15" max="15" width="10.4537037037037" style="26" customWidth="1"/>
    <col min="16" max="16" width="12.2685185185185" style="26" customWidth="1"/>
    <col min="17" max="17" width="15" style="26" customWidth="1"/>
    <col min="18" max="255" width="9" style="25"/>
    <col min="256" max="257" width="10.4537037037037" style="25" customWidth="1"/>
    <col min="258" max="259" width="12.2685185185185" style="25" customWidth="1"/>
    <col min="260" max="260" width="10.4537037037037" style="25" customWidth="1"/>
    <col min="261" max="261" width="12.2685185185185" style="25" customWidth="1"/>
    <col min="262" max="262" width="19.9074074074074" style="25" customWidth="1"/>
    <col min="263" max="264" width="12.2685185185185" style="25" customWidth="1"/>
    <col min="265" max="265" width="8.62962962962963" style="25" customWidth="1"/>
    <col min="266" max="266" width="15.0925925925926" style="25" customWidth="1"/>
    <col min="267" max="267" width="12.2685185185185" style="25" customWidth="1"/>
    <col min="268" max="268" width="10.4537037037037" style="25" customWidth="1"/>
    <col min="269" max="269" width="12.2685185185185" style="25" customWidth="1"/>
    <col min="270" max="270" width="10.4537037037037" style="25" customWidth="1"/>
    <col min="271" max="273" width="12.2685185185185" style="25" customWidth="1"/>
    <col min="274" max="511" width="9" style="25"/>
    <col min="512" max="513" width="10.4537037037037" style="25" customWidth="1"/>
    <col min="514" max="515" width="12.2685185185185" style="25" customWidth="1"/>
    <col min="516" max="516" width="10.4537037037037" style="25" customWidth="1"/>
    <col min="517" max="517" width="12.2685185185185" style="25" customWidth="1"/>
    <col min="518" max="518" width="19.9074074074074" style="25" customWidth="1"/>
    <col min="519" max="520" width="12.2685185185185" style="25" customWidth="1"/>
    <col min="521" max="521" width="8.62962962962963" style="25" customWidth="1"/>
    <col min="522" max="522" width="15.0925925925926" style="25" customWidth="1"/>
    <col min="523" max="523" width="12.2685185185185" style="25" customWidth="1"/>
    <col min="524" max="524" width="10.4537037037037" style="25" customWidth="1"/>
    <col min="525" max="525" width="12.2685185185185" style="25" customWidth="1"/>
    <col min="526" max="526" width="10.4537037037037" style="25" customWidth="1"/>
    <col min="527" max="529" width="12.2685185185185" style="25" customWidth="1"/>
    <col min="530" max="767" width="9" style="25"/>
    <col min="768" max="769" width="10.4537037037037" style="25" customWidth="1"/>
    <col min="770" max="771" width="12.2685185185185" style="25" customWidth="1"/>
    <col min="772" max="772" width="10.4537037037037" style="25" customWidth="1"/>
    <col min="773" max="773" width="12.2685185185185" style="25" customWidth="1"/>
    <col min="774" max="774" width="19.9074074074074" style="25" customWidth="1"/>
    <col min="775" max="776" width="12.2685185185185" style="25" customWidth="1"/>
    <col min="777" max="777" width="8.62962962962963" style="25" customWidth="1"/>
    <col min="778" max="778" width="15.0925925925926" style="25" customWidth="1"/>
    <col min="779" max="779" width="12.2685185185185" style="25" customWidth="1"/>
    <col min="780" max="780" width="10.4537037037037" style="25" customWidth="1"/>
    <col min="781" max="781" width="12.2685185185185" style="25" customWidth="1"/>
    <col min="782" max="782" width="10.4537037037037" style="25" customWidth="1"/>
    <col min="783" max="785" width="12.2685185185185" style="25" customWidth="1"/>
    <col min="786" max="1023" width="9" style="25"/>
    <col min="1024" max="1025" width="10.4537037037037" style="25" customWidth="1"/>
    <col min="1026" max="1027" width="12.2685185185185" style="25" customWidth="1"/>
    <col min="1028" max="1028" width="10.4537037037037" style="25" customWidth="1"/>
    <col min="1029" max="1029" width="12.2685185185185" style="25" customWidth="1"/>
    <col min="1030" max="1030" width="19.9074074074074" style="25" customWidth="1"/>
    <col min="1031" max="1032" width="12.2685185185185" style="25" customWidth="1"/>
    <col min="1033" max="1033" width="8.62962962962963" style="25" customWidth="1"/>
    <col min="1034" max="1034" width="15.0925925925926" style="25" customWidth="1"/>
    <col min="1035" max="1035" width="12.2685185185185" style="25" customWidth="1"/>
    <col min="1036" max="1036" width="10.4537037037037" style="25" customWidth="1"/>
    <col min="1037" max="1037" width="12.2685185185185" style="25" customWidth="1"/>
    <col min="1038" max="1038" width="10.4537037037037" style="25" customWidth="1"/>
    <col min="1039" max="1041" width="12.2685185185185" style="25" customWidth="1"/>
    <col min="1042" max="1279" width="9" style="25"/>
    <col min="1280" max="1281" width="10.4537037037037" style="25" customWidth="1"/>
    <col min="1282" max="1283" width="12.2685185185185" style="25" customWidth="1"/>
    <col min="1284" max="1284" width="10.4537037037037" style="25" customWidth="1"/>
    <col min="1285" max="1285" width="12.2685185185185" style="25" customWidth="1"/>
    <col min="1286" max="1286" width="19.9074074074074" style="25" customWidth="1"/>
    <col min="1287" max="1288" width="12.2685185185185" style="25" customWidth="1"/>
    <col min="1289" max="1289" width="8.62962962962963" style="25" customWidth="1"/>
    <col min="1290" max="1290" width="15.0925925925926" style="25" customWidth="1"/>
    <col min="1291" max="1291" width="12.2685185185185" style="25" customWidth="1"/>
    <col min="1292" max="1292" width="10.4537037037037" style="25" customWidth="1"/>
    <col min="1293" max="1293" width="12.2685185185185" style="25" customWidth="1"/>
    <col min="1294" max="1294" width="10.4537037037037" style="25" customWidth="1"/>
    <col min="1295" max="1297" width="12.2685185185185" style="25" customWidth="1"/>
    <col min="1298" max="1535" width="9" style="25"/>
    <col min="1536" max="1537" width="10.4537037037037" style="25" customWidth="1"/>
    <col min="1538" max="1539" width="12.2685185185185" style="25" customWidth="1"/>
    <col min="1540" max="1540" width="10.4537037037037" style="25" customWidth="1"/>
    <col min="1541" max="1541" width="12.2685185185185" style="25" customWidth="1"/>
    <col min="1542" max="1542" width="19.9074074074074" style="25" customWidth="1"/>
    <col min="1543" max="1544" width="12.2685185185185" style="25" customWidth="1"/>
    <col min="1545" max="1545" width="8.62962962962963" style="25" customWidth="1"/>
    <col min="1546" max="1546" width="15.0925925925926" style="25" customWidth="1"/>
    <col min="1547" max="1547" width="12.2685185185185" style="25" customWidth="1"/>
    <col min="1548" max="1548" width="10.4537037037037" style="25" customWidth="1"/>
    <col min="1549" max="1549" width="12.2685185185185" style="25" customWidth="1"/>
    <col min="1550" max="1550" width="10.4537037037037" style="25" customWidth="1"/>
    <col min="1551" max="1553" width="12.2685185185185" style="25" customWidth="1"/>
    <col min="1554" max="1791" width="9" style="25"/>
    <col min="1792" max="1793" width="10.4537037037037" style="25" customWidth="1"/>
    <col min="1794" max="1795" width="12.2685185185185" style="25" customWidth="1"/>
    <col min="1796" max="1796" width="10.4537037037037" style="25" customWidth="1"/>
    <col min="1797" max="1797" width="12.2685185185185" style="25" customWidth="1"/>
    <col min="1798" max="1798" width="19.9074074074074" style="25" customWidth="1"/>
    <col min="1799" max="1800" width="12.2685185185185" style="25" customWidth="1"/>
    <col min="1801" max="1801" width="8.62962962962963" style="25" customWidth="1"/>
    <col min="1802" max="1802" width="15.0925925925926" style="25" customWidth="1"/>
    <col min="1803" max="1803" width="12.2685185185185" style="25" customWidth="1"/>
    <col min="1804" max="1804" width="10.4537037037037" style="25" customWidth="1"/>
    <col min="1805" max="1805" width="12.2685185185185" style="25" customWidth="1"/>
    <col min="1806" max="1806" width="10.4537037037037" style="25" customWidth="1"/>
    <col min="1807" max="1809" width="12.2685185185185" style="25" customWidth="1"/>
    <col min="1810" max="2047" width="9" style="25"/>
    <col min="2048" max="2049" width="10.4537037037037" style="25" customWidth="1"/>
    <col min="2050" max="2051" width="12.2685185185185" style="25" customWidth="1"/>
    <col min="2052" max="2052" width="10.4537037037037" style="25" customWidth="1"/>
    <col min="2053" max="2053" width="12.2685185185185" style="25" customWidth="1"/>
    <col min="2054" max="2054" width="19.9074074074074" style="25" customWidth="1"/>
    <col min="2055" max="2056" width="12.2685185185185" style="25" customWidth="1"/>
    <col min="2057" max="2057" width="8.62962962962963" style="25" customWidth="1"/>
    <col min="2058" max="2058" width="15.0925925925926" style="25" customWidth="1"/>
    <col min="2059" max="2059" width="12.2685185185185" style="25" customWidth="1"/>
    <col min="2060" max="2060" width="10.4537037037037" style="25" customWidth="1"/>
    <col min="2061" max="2061" width="12.2685185185185" style="25" customWidth="1"/>
    <col min="2062" max="2062" width="10.4537037037037" style="25" customWidth="1"/>
    <col min="2063" max="2065" width="12.2685185185185" style="25" customWidth="1"/>
    <col min="2066" max="2303" width="9" style="25"/>
    <col min="2304" max="2305" width="10.4537037037037" style="25" customWidth="1"/>
    <col min="2306" max="2307" width="12.2685185185185" style="25" customWidth="1"/>
    <col min="2308" max="2308" width="10.4537037037037" style="25" customWidth="1"/>
    <col min="2309" max="2309" width="12.2685185185185" style="25" customWidth="1"/>
    <col min="2310" max="2310" width="19.9074074074074" style="25" customWidth="1"/>
    <col min="2311" max="2312" width="12.2685185185185" style="25" customWidth="1"/>
    <col min="2313" max="2313" width="8.62962962962963" style="25" customWidth="1"/>
    <col min="2314" max="2314" width="15.0925925925926" style="25" customWidth="1"/>
    <col min="2315" max="2315" width="12.2685185185185" style="25" customWidth="1"/>
    <col min="2316" max="2316" width="10.4537037037037" style="25" customWidth="1"/>
    <col min="2317" max="2317" width="12.2685185185185" style="25" customWidth="1"/>
    <col min="2318" max="2318" width="10.4537037037037" style="25" customWidth="1"/>
    <col min="2319" max="2321" width="12.2685185185185" style="25" customWidth="1"/>
    <col min="2322" max="2559" width="9" style="25"/>
    <col min="2560" max="2561" width="10.4537037037037" style="25" customWidth="1"/>
    <col min="2562" max="2563" width="12.2685185185185" style="25" customWidth="1"/>
    <col min="2564" max="2564" width="10.4537037037037" style="25" customWidth="1"/>
    <col min="2565" max="2565" width="12.2685185185185" style="25" customWidth="1"/>
    <col min="2566" max="2566" width="19.9074074074074" style="25" customWidth="1"/>
    <col min="2567" max="2568" width="12.2685185185185" style="25" customWidth="1"/>
    <col min="2569" max="2569" width="8.62962962962963" style="25" customWidth="1"/>
    <col min="2570" max="2570" width="15.0925925925926" style="25" customWidth="1"/>
    <col min="2571" max="2571" width="12.2685185185185" style="25" customWidth="1"/>
    <col min="2572" max="2572" width="10.4537037037037" style="25" customWidth="1"/>
    <col min="2573" max="2573" width="12.2685185185185" style="25" customWidth="1"/>
    <col min="2574" max="2574" width="10.4537037037037" style="25" customWidth="1"/>
    <col min="2575" max="2577" width="12.2685185185185" style="25" customWidth="1"/>
    <col min="2578" max="2815" width="9" style="25"/>
    <col min="2816" max="2817" width="10.4537037037037" style="25" customWidth="1"/>
    <col min="2818" max="2819" width="12.2685185185185" style="25" customWidth="1"/>
    <col min="2820" max="2820" width="10.4537037037037" style="25" customWidth="1"/>
    <col min="2821" max="2821" width="12.2685185185185" style="25" customWidth="1"/>
    <col min="2822" max="2822" width="19.9074074074074" style="25" customWidth="1"/>
    <col min="2823" max="2824" width="12.2685185185185" style="25" customWidth="1"/>
    <col min="2825" max="2825" width="8.62962962962963" style="25" customWidth="1"/>
    <col min="2826" max="2826" width="15.0925925925926" style="25" customWidth="1"/>
    <col min="2827" max="2827" width="12.2685185185185" style="25" customWidth="1"/>
    <col min="2828" max="2828" width="10.4537037037037" style="25" customWidth="1"/>
    <col min="2829" max="2829" width="12.2685185185185" style="25" customWidth="1"/>
    <col min="2830" max="2830" width="10.4537037037037" style="25" customWidth="1"/>
    <col min="2831" max="2833" width="12.2685185185185" style="25" customWidth="1"/>
    <col min="2834" max="3071" width="9" style="25"/>
    <col min="3072" max="3073" width="10.4537037037037" style="25" customWidth="1"/>
    <col min="3074" max="3075" width="12.2685185185185" style="25" customWidth="1"/>
    <col min="3076" max="3076" width="10.4537037037037" style="25" customWidth="1"/>
    <col min="3077" max="3077" width="12.2685185185185" style="25" customWidth="1"/>
    <col min="3078" max="3078" width="19.9074074074074" style="25" customWidth="1"/>
    <col min="3079" max="3080" width="12.2685185185185" style="25" customWidth="1"/>
    <col min="3081" max="3081" width="8.62962962962963" style="25" customWidth="1"/>
    <col min="3082" max="3082" width="15.0925925925926" style="25" customWidth="1"/>
    <col min="3083" max="3083" width="12.2685185185185" style="25" customWidth="1"/>
    <col min="3084" max="3084" width="10.4537037037037" style="25" customWidth="1"/>
    <col min="3085" max="3085" width="12.2685185185185" style="25" customWidth="1"/>
    <col min="3086" max="3086" width="10.4537037037037" style="25" customWidth="1"/>
    <col min="3087" max="3089" width="12.2685185185185" style="25" customWidth="1"/>
    <col min="3090" max="3327" width="9" style="25"/>
    <col min="3328" max="3329" width="10.4537037037037" style="25" customWidth="1"/>
    <col min="3330" max="3331" width="12.2685185185185" style="25" customWidth="1"/>
    <col min="3332" max="3332" width="10.4537037037037" style="25" customWidth="1"/>
    <col min="3333" max="3333" width="12.2685185185185" style="25" customWidth="1"/>
    <col min="3334" max="3334" width="19.9074074074074" style="25" customWidth="1"/>
    <col min="3335" max="3336" width="12.2685185185185" style="25" customWidth="1"/>
    <col min="3337" max="3337" width="8.62962962962963" style="25" customWidth="1"/>
    <col min="3338" max="3338" width="15.0925925925926" style="25" customWidth="1"/>
    <col min="3339" max="3339" width="12.2685185185185" style="25" customWidth="1"/>
    <col min="3340" max="3340" width="10.4537037037037" style="25" customWidth="1"/>
    <col min="3341" max="3341" width="12.2685185185185" style="25" customWidth="1"/>
    <col min="3342" max="3342" width="10.4537037037037" style="25" customWidth="1"/>
    <col min="3343" max="3345" width="12.2685185185185" style="25" customWidth="1"/>
    <col min="3346" max="3583" width="9" style="25"/>
    <col min="3584" max="3585" width="10.4537037037037" style="25" customWidth="1"/>
    <col min="3586" max="3587" width="12.2685185185185" style="25" customWidth="1"/>
    <col min="3588" max="3588" width="10.4537037037037" style="25" customWidth="1"/>
    <col min="3589" max="3589" width="12.2685185185185" style="25" customWidth="1"/>
    <col min="3590" max="3590" width="19.9074074074074" style="25" customWidth="1"/>
    <col min="3591" max="3592" width="12.2685185185185" style="25" customWidth="1"/>
    <col min="3593" max="3593" width="8.62962962962963" style="25" customWidth="1"/>
    <col min="3594" max="3594" width="15.0925925925926" style="25" customWidth="1"/>
    <col min="3595" max="3595" width="12.2685185185185" style="25" customWidth="1"/>
    <col min="3596" max="3596" width="10.4537037037037" style="25" customWidth="1"/>
    <col min="3597" max="3597" width="12.2685185185185" style="25" customWidth="1"/>
    <col min="3598" max="3598" width="10.4537037037037" style="25" customWidth="1"/>
    <col min="3599" max="3601" width="12.2685185185185" style="25" customWidth="1"/>
    <col min="3602" max="3839" width="9" style="25"/>
    <col min="3840" max="3841" width="10.4537037037037" style="25" customWidth="1"/>
    <col min="3842" max="3843" width="12.2685185185185" style="25" customWidth="1"/>
    <col min="3844" max="3844" width="10.4537037037037" style="25" customWidth="1"/>
    <col min="3845" max="3845" width="12.2685185185185" style="25" customWidth="1"/>
    <col min="3846" max="3846" width="19.9074074074074" style="25" customWidth="1"/>
    <col min="3847" max="3848" width="12.2685185185185" style="25" customWidth="1"/>
    <col min="3849" max="3849" width="8.62962962962963" style="25" customWidth="1"/>
    <col min="3850" max="3850" width="15.0925925925926" style="25" customWidth="1"/>
    <col min="3851" max="3851" width="12.2685185185185" style="25" customWidth="1"/>
    <col min="3852" max="3852" width="10.4537037037037" style="25" customWidth="1"/>
    <col min="3853" max="3853" width="12.2685185185185" style="25" customWidth="1"/>
    <col min="3854" max="3854" width="10.4537037037037" style="25" customWidth="1"/>
    <col min="3855" max="3857" width="12.2685185185185" style="25" customWidth="1"/>
    <col min="3858" max="4095" width="9" style="25"/>
    <col min="4096" max="4097" width="10.4537037037037" style="25" customWidth="1"/>
    <col min="4098" max="4099" width="12.2685185185185" style="25" customWidth="1"/>
    <col min="4100" max="4100" width="10.4537037037037" style="25" customWidth="1"/>
    <col min="4101" max="4101" width="12.2685185185185" style="25" customWidth="1"/>
    <col min="4102" max="4102" width="19.9074074074074" style="25" customWidth="1"/>
    <col min="4103" max="4104" width="12.2685185185185" style="25" customWidth="1"/>
    <col min="4105" max="4105" width="8.62962962962963" style="25" customWidth="1"/>
    <col min="4106" max="4106" width="15.0925925925926" style="25" customWidth="1"/>
    <col min="4107" max="4107" width="12.2685185185185" style="25" customWidth="1"/>
    <col min="4108" max="4108" width="10.4537037037037" style="25" customWidth="1"/>
    <col min="4109" max="4109" width="12.2685185185185" style="25" customWidth="1"/>
    <col min="4110" max="4110" width="10.4537037037037" style="25" customWidth="1"/>
    <col min="4111" max="4113" width="12.2685185185185" style="25" customWidth="1"/>
    <col min="4114" max="4351" width="9" style="25"/>
    <col min="4352" max="4353" width="10.4537037037037" style="25" customWidth="1"/>
    <col min="4354" max="4355" width="12.2685185185185" style="25" customWidth="1"/>
    <col min="4356" max="4356" width="10.4537037037037" style="25" customWidth="1"/>
    <col min="4357" max="4357" width="12.2685185185185" style="25" customWidth="1"/>
    <col min="4358" max="4358" width="19.9074074074074" style="25" customWidth="1"/>
    <col min="4359" max="4360" width="12.2685185185185" style="25" customWidth="1"/>
    <col min="4361" max="4361" width="8.62962962962963" style="25" customWidth="1"/>
    <col min="4362" max="4362" width="15.0925925925926" style="25" customWidth="1"/>
    <col min="4363" max="4363" width="12.2685185185185" style="25" customWidth="1"/>
    <col min="4364" max="4364" width="10.4537037037037" style="25" customWidth="1"/>
    <col min="4365" max="4365" width="12.2685185185185" style="25" customWidth="1"/>
    <col min="4366" max="4366" width="10.4537037037037" style="25" customWidth="1"/>
    <col min="4367" max="4369" width="12.2685185185185" style="25" customWidth="1"/>
    <col min="4370" max="4607" width="9" style="25"/>
    <col min="4608" max="4609" width="10.4537037037037" style="25" customWidth="1"/>
    <col min="4610" max="4611" width="12.2685185185185" style="25" customWidth="1"/>
    <col min="4612" max="4612" width="10.4537037037037" style="25" customWidth="1"/>
    <col min="4613" max="4613" width="12.2685185185185" style="25" customWidth="1"/>
    <col min="4614" max="4614" width="19.9074074074074" style="25" customWidth="1"/>
    <col min="4615" max="4616" width="12.2685185185185" style="25" customWidth="1"/>
    <col min="4617" max="4617" width="8.62962962962963" style="25" customWidth="1"/>
    <col min="4618" max="4618" width="15.0925925925926" style="25" customWidth="1"/>
    <col min="4619" max="4619" width="12.2685185185185" style="25" customWidth="1"/>
    <col min="4620" max="4620" width="10.4537037037037" style="25" customWidth="1"/>
    <col min="4621" max="4621" width="12.2685185185185" style="25" customWidth="1"/>
    <col min="4622" max="4622" width="10.4537037037037" style="25" customWidth="1"/>
    <col min="4623" max="4625" width="12.2685185185185" style="25" customWidth="1"/>
    <col min="4626" max="4863" width="9" style="25"/>
    <col min="4864" max="4865" width="10.4537037037037" style="25" customWidth="1"/>
    <col min="4866" max="4867" width="12.2685185185185" style="25" customWidth="1"/>
    <col min="4868" max="4868" width="10.4537037037037" style="25" customWidth="1"/>
    <col min="4869" max="4869" width="12.2685185185185" style="25" customWidth="1"/>
    <col min="4870" max="4870" width="19.9074074074074" style="25" customWidth="1"/>
    <col min="4871" max="4872" width="12.2685185185185" style="25" customWidth="1"/>
    <col min="4873" max="4873" width="8.62962962962963" style="25" customWidth="1"/>
    <col min="4874" max="4874" width="15.0925925925926" style="25" customWidth="1"/>
    <col min="4875" max="4875" width="12.2685185185185" style="25" customWidth="1"/>
    <col min="4876" max="4876" width="10.4537037037037" style="25" customWidth="1"/>
    <col min="4877" max="4877" width="12.2685185185185" style="25" customWidth="1"/>
    <col min="4878" max="4878" width="10.4537037037037" style="25" customWidth="1"/>
    <col min="4879" max="4881" width="12.2685185185185" style="25" customWidth="1"/>
    <col min="4882" max="5119" width="9" style="25"/>
    <col min="5120" max="5121" width="10.4537037037037" style="25" customWidth="1"/>
    <col min="5122" max="5123" width="12.2685185185185" style="25" customWidth="1"/>
    <col min="5124" max="5124" width="10.4537037037037" style="25" customWidth="1"/>
    <col min="5125" max="5125" width="12.2685185185185" style="25" customWidth="1"/>
    <col min="5126" max="5126" width="19.9074074074074" style="25" customWidth="1"/>
    <col min="5127" max="5128" width="12.2685185185185" style="25" customWidth="1"/>
    <col min="5129" max="5129" width="8.62962962962963" style="25" customWidth="1"/>
    <col min="5130" max="5130" width="15.0925925925926" style="25" customWidth="1"/>
    <col min="5131" max="5131" width="12.2685185185185" style="25" customWidth="1"/>
    <col min="5132" max="5132" width="10.4537037037037" style="25" customWidth="1"/>
    <col min="5133" max="5133" width="12.2685185185185" style="25" customWidth="1"/>
    <col min="5134" max="5134" width="10.4537037037037" style="25" customWidth="1"/>
    <col min="5135" max="5137" width="12.2685185185185" style="25" customWidth="1"/>
    <col min="5138" max="5375" width="9" style="25"/>
    <col min="5376" max="5377" width="10.4537037037037" style="25" customWidth="1"/>
    <col min="5378" max="5379" width="12.2685185185185" style="25" customWidth="1"/>
    <col min="5380" max="5380" width="10.4537037037037" style="25" customWidth="1"/>
    <col min="5381" max="5381" width="12.2685185185185" style="25" customWidth="1"/>
    <col min="5382" max="5382" width="19.9074074074074" style="25" customWidth="1"/>
    <col min="5383" max="5384" width="12.2685185185185" style="25" customWidth="1"/>
    <col min="5385" max="5385" width="8.62962962962963" style="25" customWidth="1"/>
    <col min="5386" max="5386" width="15.0925925925926" style="25" customWidth="1"/>
    <col min="5387" max="5387" width="12.2685185185185" style="25" customWidth="1"/>
    <col min="5388" max="5388" width="10.4537037037037" style="25" customWidth="1"/>
    <col min="5389" max="5389" width="12.2685185185185" style="25" customWidth="1"/>
    <col min="5390" max="5390" width="10.4537037037037" style="25" customWidth="1"/>
    <col min="5391" max="5393" width="12.2685185185185" style="25" customWidth="1"/>
    <col min="5394" max="5631" width="9" style="25"/>
    <col min="5632" max="5633" width="10.4537037037037" style="25" customWidth="1"/>
    <col min="5634" max="5635" width="12.2685185185185" style="25" customWidth="1"/>
    <col min="5636" max="5636" width="10.4537037037037" style="25" customWidth="1"/>
    <col min="5637" max="5637" width="12.2685185185185" style="25" customWidth="1"/>
    <col min="5638" max="5638" width="19.9074074074074" style="25" customWidth="1"/>
    <col min="5639" max="5640" width="12.2685185185185" style="25" customWidth="1"/>
    <col min="5641" max="5641" width="8.62962962962963" style="25" customWidth="1"/>
    <col min="5642" max="5642" width="15.0925925925926" style="25" customWidth="1"/>
    <col min="5643" max="5643" width="12.2685185185185" style="25" customWidth="1"/>
    <col min="5644" max="5644" width="10.4537037037037" style="25" customWidth="1"/>
    <col min="5645" max="5645" width="12.2685185185185" style="25" customWidth="1"/>
    <col min="5646" max="5646" width="10.4537037037037" style="25" customWidth="1"/>
    <col min="5647" max="5649" width="12.2685185185185" style="25" customWidth="1"/>
    <col min="5650" max="5887" width="9" style="25"/>
    <col min="5888" max="5889" width="10.4537037037037" style="25" customWidth="1"/>
    <col min="5890" max="5891" width="12.2685185185185" style="25" customWidth="1"/>
    <col min="5892" max="5892" width="10.4537037037037" style="25" customWidth="1"/>
    <col min="5893" max="5893" width="12.2685185185185" style="25" customWidth="1"/>
    <col min="5894" max="5894" width="19.9074074074074" style="25" customWidth="1"/>
    <col min="5895" max="5896" width="12.2685185185185" style="25" customWidth="1"/>
    <col min="5897" max="5897" width="8.62962962962963" style="25" customWidth="1"/>
    <col min="5898" max="5898" width="15.0925925925926" style="25" customWidth="1"/>
    <col min="5899" max="5899" width="12.2685185185185" style="25" customWidth="1"/>
    <col min="5900" max="5900" width="10.4537037037037" style="25" customWidth="1"/>
    <col min="5901" max="5901" width="12.2685185185185" style="25" customWidth="1"/>
    <col min="5902" max="5902" width="10.4537037037037" style="25" customWidth="1"/>
    <col min="5903" max="5905" width="12.2685185185185" style="25" customWidth="1"/>
    <col min="5906" max="6143" width="9" style="25"/>
    <col min="6144" max="6145" width="10.4537037037037" style="25" customWidth="1"/>
    <col min="6146" max="6147" width="12.2685185185185" style="25" customWidth="1"/>
    <col min="6148" max="6148" width="10.4537037037037" style="25" customWidth="1"/>
    <col min="6149" max="6149" width="12.2685185185185" style="25" customWidth="1"/>
    <col min="6150" max="6150" width="19.9074074074074" style="25" customWidth="1"/>
    <col min="6151" max="6152" width="12.2685185185185" style="25" customWidth="1"/>
    <col min="6153" max="6153" width="8.62962962962963" style="25" customWidth="1"/>
    <col min="6154" max="6154" width="15.0925925925926" style="25" customWidth="1"/>
    <col min="6155" max="6155" width="12.2685185185185" style="25" customWidth="1"/>
    <col min="6156" max="6156" width="10.4537037037037" style="25" customWidth="1"/>
    <col min="6157" max="6157" width="12.2685185185185" style="25" customWidth="1"/>
    <col min="6158" max="6158" width="10.4537037037037" style="25" customWidth="1"/>
    <col min="6159" max="6161" width="12.2685185185185" style="25" customWidth="1"/>
    <col min="6162" max="6399" width="9" style="25"/>
    <col min="6400" max="6401" width="10.4537037037037" style="25" customWidth="1"/>
    <col min="6402" max="6403" width="12.2685185185185" style="25" customWidth="1"/>
    <col min="6404" max="6404" width="10.4537037037037" style="25" customWidth="1"/>
    <col min="6405" max="6405" width="12.2685185185185" style="25" customWidth="1"/>
    <col min="6406" max="6406" width="19.9074074074074" style="25" customWidth="1"/>
    <col min="6407" max="6408" width="12.2685185185185" style="25" customWidth="1"/>
    <col min="6409" max="6409" width="8.62962962962963" style="25" customWidth="1"/>
    <col min="6410" max="6410" width="15.0925925925926" style="25" customWidth="1"/>
    <col min="6411" max="6411" width="12.2685185185185" style="25" customWidth="1"/>
    <col min="6412" max="6412" width="10.4537037037037" style="25" customWidth="1"/>
    <col min="6413" max="6413" width="12.2685185185185" style="25" customWidth="1"/>
    <col min="6414" max="6414" width="10.4537037037037" style="25" customWidth="1"/>
    <col min="6415" max="6417" width="12.2685185185185" style="25" customWidth="1"/>
    <col min="6418" max="6655" width="9" style="25"/>
    <col min="6656" max="6657" width="10.4537037037037" style="25" customWidth="1"/>
    <col min="6658" max="6659" width="12.2685185185185" style="25" customWidth="1"/>
    <col min="6660" max="6660" width="10.4537037037037" style="25" customWidth="1"/>
    <col min="6661" max="6661" width="12.2685185185185" style="25" customWidth="1"/>
    <col min="6662" max="6662" width="19.9074074074074" style="25" customWidth="1"/>
    <col min="6663" max="6664" width="12.2685185185185" style="25" customWidth="1"/>
    <col min="6665" max="6665" width="8.62962962962963" style="25" customWidth="1"/>
    <col min="6666" max="6666" width="15.0925925925926" style="25" customWidth="1"/>
    <col min="6667" max="6667" width="12.2685185185185" style="25" customWidth="1"/>
    <col min="6668" max="6668" width="10.4537037037037" style="25" customWidth="1"/>
    <col min="6669" max="6669" width="12.2685185185185" style="25" customWidth="1"/>
    <col min="6670" max="6670" width="10.4537037037037" style="25" customWidth="1"/>
    <col min="6671" max="6673" width="12.2685185185185" style="25" customWidth="1"/>
    <col min="6674" max="6911" width="9" style="25"/>
    <col min="6912" max="6913" width="10.4537037037037" style="25" customWidth="1"/>
    <col min="6914" max="6915" width="12.2685185185185" style="25" customWidth="1"/>
    <col min="6916" max="6916" width="10.4537037037037" style="25" customWidth="1"/>
    <col min="6917" max="6917" width="12.2685185185185" style="25" customWidth="1"/>
    <col min="6918" max="6918" width="19.9074074074074" style="25" customWidth="1"/>
    <col min="6919" max="6920" width="12.2685185185185" style="25" customWidth="1"/>
    <col min="6921" max="6921" width="8.62962962962963" style="25" customWidth="1"/>
    <col min="6922" max="6922" width="15.0925925925926" style="25" customWidth="1"/>
    <col min="6923" max="6923" width="12.2685185185185" style="25" customWidth="1"/>
    <col min="6924" max="6924" width="10.4537037037037" style="25" customWidth="1"/>
    <col min="6925" max="6925" width="12.2685185185185" style="25" customWidth="1"/>
    <col min="6926" max="6926" width="10.4537037037037" style="25" customWidth="1"/>
    <col min="6927" max="6929" width="12.2685185185185" style="25" customWidth="1"/>
    <col min="6930" max="7167" width="9" style="25"/>
    <col min="7168" max="7169" width="10.4537037037037" style="25" customWidth="1"/>
    <col min="7170" max="7171" width="12.2685185185185" style="25" customWidth="1"/>
    <col min="7172" max="7172" width="10.4537037037037" style="25" customWidth="1"/>
    <col min="7173" max="7173" width="12.2685185185185" style="25" customWidth="1"/>
    <col min="7174" max="7174" width="19.9074074074074" style="25" customWidth="1"/>
    <col min="7175" max="7176" width="12.2685185185185" style="25" customWidth="1"/>
    <col min="7177" max="7177" width="8.62962962962963" style="25" customWidth="1"/>
    <col min="7178" max="7178" width="15.0925925925926" style="25" customWidth="1"/>
    <col min="7179" max="7179" width="12.2685185185185" style="25" customWidth="1"/>
    <col min="7180" max="7180" width="10.4537037037037" style="25" customWidth="1"/>
    <col min="7181" max="7181" width="12.2685185185185" style="25" customWidth="1"/>
    <col min="7182" max="7182" width="10.4537037037037" style="25" customWidth="1"/>
    <col min="7183" max="7185" width="12.2685185185185" style="25" customWidth="1"/>
    <col min="7186" max="7423" width="9" style="25"/>
    <col min="7424" max="7425" width="10.4537037037037" style="25" customWidth="1"/>
    <col min="7426" max="7427" width="12.2685185185185" style="25" customWidth="1"/>
    <col min="7428" max="7428" width="10.4537037037037" style="25" customWidth="1"/>
    <col min="7429" max="7429" width="12.2685185185185" style="25" customWidth="1"/>
    <col min="7430" max="7430" width="19.9074074074074" style="25" customWidth="1"/>
    <col min="7431" max="7432" width="12.2685185185185" style="25" customWidth="1"/>
    <col min="7433" max="7433" width="8.62962962962963" style="25" customWidth="1"/>
    <col min="7434" max="7434" width="15.0925925925926" style="25" customWidth="1"/>
    <col min="7435" max="7435" width="12.2685185185185" style="25" customWidth="1"/>
    <col min="7436" max="7436" width="10.4537037037037" style="25" customWidth="1"/>
    <col min="7437" max="7437" width="12.2685185185185" style="25" customWidth="1"/>
    <col min="7438" max="7438" width="10.4537037037037" style="25" customWidth="1"/>
    <col min="7439" max="7441" width="12.2685185185185" style="25" customWidth="1"/>
    <col min="7442" max="7679" width="9" style="25"/>
    <col min="7680" max="7681" width="10.4537037037037" style="25" customWidth="1"/>
    <col min="7682" max="7683" width="12.2685185185185" style="25" customWidth="1"/>
    <col min="7684" max="7684" width="10.4537037037037" style="25" customWidth="1"/>
    <col min="7685" max="7685" width="12.2685185185185" style="25" customWidth="1"/>
    <col min="7686" max="7686" width="19.9074074074074" style="25" customWidth="1"/>
    <col min="7687" max="7688" width="12.2685185185185" style="25" customWidth="1"/>
    <col min="7689" max="7689" width="8.62962962962963" style="25" customWidth="1"/>
    <col min="7690" max="7690" width="15.0925925925926" style="25" customWidth="1"/>
    <col min="7691" max="7691" width="12.2685185185185" style="25" customWidth="1"/>
    <col min="7692" max="7692" width="10.4537037037037" style="25" customWidth="1"/>
    <col min="7693" max="7693" width="12.2685185185185" style="25" customWidth="1"/>
    <col min="7694" max="7694" width="10.4537037037037" style="25" customWidth="1"/>
    <col min="7695" max="7697" width="12.2685185185185" style="25" customWidth="1"/>
    <col min="7698" max="7935" width="9" style="25"/>
    <col min="7936" max="7937" width="10.4537037037037" style="25" customWidth="1"/>
    <col min="7938" max="7939" width="12.2685185185185" style="25" customWidth="1"/>
    <col min="7940" max="7940" width="10.4537037037037" style="25" customWidth="1"/>
    <col min="7941" max="7941" width="12.2685185185185" style="25" customWidth="1"/>
    <col min="7942" max="7942" width="19.9074074074074" style="25" customWidth="1"/>
    <col min="7943" max="7944" width="12.2685185185185" style="25" customWidth="1"/>
    <col min="7945" max="7945" width="8.62962962962963" style="25" customWidth="1"/>
    <col min="7946" max="7946" width="15.0925925925926" style="25" customWidth="1"/>
    <col min="7947" max="7947" width="12.2685185185185" style="25" customWidth="1"/>
    <col min="7948" max="7948" width="10.4537037037037" style="25" customWidth="1"/>
    <col min="7949" max="7949" width="12.2685185185185" style="25" customWidth="1"/>
    <col min="7950" max="7950" width="10.4537037037037" style="25" customWidth="1"/>
    <col min="7951" max="7953" width="12.2685185185185" style="25" customWidth="1"/>
    <col min="7954" max="8191" width="9" style="25"/>
    <col min="8192" max="8193" width="10.4537037037037" style="25" customWidth="1"/>
    <col min="8194" max="8195" width="12.2685185185185" style="25" customWidth="1"/>
    <col min="8196" max="8196" width="10.4537037037037" style="25" customWidth="1"/>
    <col min="8197" max="8197" width="12.2685185185185" style="25" customWidth="1"/>
    <col min="8198" max="8198" width="19.9074074074074" style="25" customWidth="1"/>
    <col min="8199" max="8200" width="12.2685185185185" style="25" customWidth="1"/>
    <col min="8201" max="8201" width="8.62962962962963" style="25" customWidth="1"/>
    <col min="8202" max="8202" width="15.0925925925926" style="25" customWidth="1"/>
    <col min="8203" max="8203" width="12.2685185185185" style="25" customWidth="1"/>
    <col min="8204" max="8204" width="10.4537037037037" style="25" customWidth="1"/>
    <col min="8205" max="8205" width="12.2685185185185" style="25" customWidth="1"/>
    <col min="8206" max="8206" width="10.4537037037037" style="25" customWidth="1"/>
    <col min="8207" max="8209" width="12.2685185185185" style="25" customWidth="1"/>
    <col min="8210" max="8447" width="9" style="25"/>
    <col min="8448" max="8449" width="10.4537037037037" style="25" customWidth="1"/>
    <col min="8450" max="8451" width="12.2685185185185" style="25" customWidth="1"/>
    <col min="8452" max="8452" width="10.4537037037037" style="25" customWidth="1"/>
    <col min="8453" max="8453" width="12.2685185185185" style="25" customWidth="1"/>
    <col min="8454" max="8454" width="19.9074074074074" style="25" customWidth="1"/>
    <col min="8455" max="8456" width="12.2685185185185" style="25" customWidth="1"/>
    <col min="8457" max="8457" width="8.62962962962963" style="25" customWidth="1"/>
    <col min="8458" max="8458" width="15.0925925925926" style="25" customWidth="1"/>
    <col min="8459" max="8459" width="12.2685185185185" style="25" customWidth="1"/>
    <col min="8460" max="8460" width="10.4537037037037" style="25" customWidth="1"/>
    <col min="8461" max="8461" width="12.2685185185185" style="25" customWidth="1"/>
    <col min="8462" max="8462" width="10.4537037037037" style="25" customWidth="1"/>
    <col min="8463" max="8465" width="12.2685185185185" style="25" customWidth="1"/>
    <col min="8466" max="8703" width="9" style="25"/>
    <col min="8704" max="8705" width="10.4537037037037" style="25" customWidth="1"/>
    <col min="8706" max="8707" width="12.2685185185185" style="25" customWidth="1"/>
    <col min="8708" max="8708" width="10.4537037037037" style="25" customWidth="1"/>
    <col min="8709" max="8709" width="12.2685185185185" style="25" customWidth="1"/>
    <col min="8710" max="8710" width="19.9074074074074" style="25" customWidth="1"/>
    <col min="8711" max="8712" width="12.2685185185185" style="25" customWidth="1"/>
    <col min="8713" max="8713" width="8.62962962962963" style="25" customWidth="1"/>
    <col min="8714" max="8714" width="15.0925925925926" style="25" customWidth="1"/>
    <col min="8715" max="8715" width="12.2685185185185" style="25" customWidth="1"/>
    <col min="8716" max="8716" width="10.4537037037037" style="25" customWidth="1"/>
    <col min="8717" max="8717" width="12.2685185185185" style="25" customWidth="1"/>
    <col min="8718" max="8718" width="10.4537037037037" style="25" customWidth="1"/>
    <col min="8719" max="8721" width="12.2685185185185" style="25" customWidth="1"/>
    <col min="8722" max="8959" width="9" style="25"/>
    <col min="8960" max="8961" width="10.4537037037037" style="25" customWidth="1"/>
    <col min="8962" max="8963" width="12.2685185185185" style="25" customWidth="1"/>
    <col min="8964" max="8964" width="10.4537037037037" style="25" customWidth="1"/>
    <col min="8965" max="8965" width="12.2685185185185" style="25" customWidth="1"/>
    <col min="8966" max="8966" width="19.9074074074074" style="25" customWidth="1"/>
    <col min="8967" max="8968" width="12.2685185185185" style="25" customWidth="1"/>
    <col min="8969" max="8969" width="8.62962962962963" style="25" customWidth="1"/>
    <col min="8970" max="8970" width="15.0925925925926" style="25" customWidth="1"/>
    <col min="8971" max="8971" width="12.2685185185185" style="25" customWidth="1"/>
    <col min="8972" max="8972" width="10.4537037037037" style="25" customWidth="1"/>
    <col min="8973" max="8973" width="12.2685185185185" style="25" customWidth="1"/>
    <col min="8974" max="8974" width="10.4537037037037" style="25" customWidth="1"/>
    <col min="8975" max="8977" width="12.2685185185185" style="25" customWidth="1"/>
    <col min="8978" max="9215" width="9" style="25"/>
    <col min="9216" max="9217" width="10.4537037037037" style="25" customWidth="1"/>
    <col min="9218" max="9219" width="12.2685185185185" style="25" customWidth="1"/>
    <col min="9220" max="9220" width="10.4537037037037" style="25" customWidth="1"/>
    <col min="9221" max="9221" width="12.2685185185185" style="25" customWidth="1"/>
    <col min="9222" max="9222" width="19.9074074074074" style="25" customWidth="1"/>
    <col min="9223" max="9224" width="12.2685185185185" style="25" customWidth="1"/>
    <col min="9225" max="9225" width="8.62962962962963" style="25" customWidth="1"/>
    <col min="9226" max="9226" width="15.0925925925926" style="25" customWidth="1"/>
    <col min="9227" max="9227" width="12.2685185185185" style="25" customWidth="1"/>
    <col min="9228" max="9228" width="10.4537037037037" style="25" customWidth="1"/>
    <col min="9229" max="9229" width="12.2685185185185" style="25" customWidth="1"/>
    <col min="9230" max="9230" width="10.4537037037037" style="25" customWidth="1"/>
    <col min="9231" max="9233" width="12.2685185185185" style="25" customWidth="1"/>
    <col min="9234" max="9471" width="9" style="25"/>
    <col min="9472" max="9473" width="10.4537037037037" style="25" customWidth="1"/>
    <col min="9474" max="9475" width="12.2685185185185" style="25" customWidth="1"/>
    <col min="9476" max="9476" width="10.4537037037037" style="25" customWidth="1"/>
    <col min="9477" max="9477" width="12.2685185185185" style="25" customWidth="1"/>
    <col min="9478" max="9478" width="19.9074074074074" style="25" customWidth="1"/>
    <col min="9479" max="9480" width="12.2685185185185" style="25" customWidth="1"/>
    <col min="9481" max="9481" width="8.62962962962963" style="25" customWidth="1"/>
    <col min="9482" max="9482" width="15.0925925925926" style="25" customWidth="1"/>
    <col min="9483" max="9483" width="12.2685185185185" style="25" customWidth="1"/>
    <col min="9484" max="9484" width="10.4537037037037" style="25" customWidth="1"/>
    <col min="9485" max="9485" width="12.2685185185185" style="25" customWidth="1"/>
    <col min="9486" max="9486" width="10.4537037037037" style="25" customWidth="1"/>
    <col min="9487" max="9489" width="12.2685185185185" style="25" customWidth="1"/>
    <col min="9490" max="9727" width="9" style="25"/>
    <col min="9728" max="9729" width="10.4537037037037" style="25" customWidth="1"/>
    <col min="9730" max="9731" width="12.2685185185185" style="25" customWidth="1"/>
    <col min="9732" max="9732" width="10.4537037037037" style="25" customWidth="1"/>
    <col min="9733" max="9733" width="12.2685185185185" style="25" customWidth="1"/>
    <col min="9734" max="9734" width="19.9074074074074" style="25" customWidth="1"/>
    <col min="9735" max="9736" width="12.2685185185185" style="25" customWidth="1"/>
    <col min="9737" max="9737" width="8.62962962962963" style="25" customWidth="1"/>
    <col min="9738" max="9738" width="15.0925925925926" style="25" customWidth="1"/>
    <col min="9739" max="9739" width="12.2685185185185" style="25" customWidth="1"/>
    <col min="9740" max="9740" width="10.4537037037037" style="25" customWidth="1"/>
    <col min="9741" max="9741" width="12.2685185185185" style="25" customWidth="1"/>
    <col min="9742" max="9742" width="10.4537037037037" style="25" customWidth="1"/>
    <col min="9743" max="9745" width="12.2685185185185" style="25" customWidth="1"/>
    <col min="9746" max="9983" width="9" style="25"/>
    <col min="9984" max="9985" width="10.4537037037037" style="25" customWidth="1"/>
    <col min="9986" max="9987" width="12.2685185185185" style="25" customWidth="1"/>
    <col min="9988" max="9988" width="10.4537037037037" style="25" customWidth="1"/>
    <col min="9989" max="9989" width="12.2685185185185" style="25" customWidth="1"/>
    <col min="9990" max="9990" width="19.9074074074074" style="25" customWidth="1"/>
    <col min="9991" max="9992" width="12.2685185185185" style="25" customWidth="1"/>
    <col min="9993" max="9993" width="8.62962962962963" style="25" customWidth="1"/>
    <col min="9994" max="9994" width="15.0925925925926" style="25" customWidth="1"/>
    <col min="9995" max="9995" width="12.2685185185185" style="25" customWidth="1"/>
    <col min="9996" max="9996" width="10.4537037037037" style="25" customWidth="1"/>
    <col min="9997" max="9997" width="12.2685185185185" style="25" customWidth="1"/>
    <col min="9998" max="9998" width="10.4537037037037" style="25" customWidth="1"/>
    <col min="9999" max="10001" width="12.2685185185185" style="25" customWidth="1"/>
    <col min="10002" max="10239" width="9" style="25"/>
    <col min="10240" max="10241" width="10.4537037037037" style="25" customWidth="1"/>
    <col min="10242" max="10243" width="12.2685185185185" style="25" customWidth="1"/>
    <col min="10244" max="10244" width="10.4537037037037" style="25" customWidth="1"/>
    <col min="10245" max="10245" width="12.2685185185185" style="25" customWidth="1"/>
    <col min="10246" max="10246" width="19.9074074074074" style="25" customWidth="1"/>
    <col min="10247" max="10248" width="12.2685185185185" style="25" customWidth="1"/>
    <col min="10249" max="10249" width="8.62962962962963" style="25" customWidth="1"/>
    <col min="10250" max="10250" width="15.0925925925926" style="25" customWidth="1"/>
    <col min="10251" max="10251" width="12.2685185185185" style="25" customWidth="1"/>
    <col min="10252" max="10252" width="10.4537037037037" style="25" customWidth="1"/>
    <col min="10253" max="10253" width="12.2685185185185" style="25" customWidth="1"/>
    <col min="10254" max="10254" width="10.4537037037037" style="25" customWidth="1"/>
    <col min="10255" max="10257" width="12.2685185185185" style="25" customWidth="1"/>
    <col min="10258" max="10495" width="9" style="25"/>
    <col min="10496" max="10497" width="10.4537037037037" style="25" customWidth="1"/>
    <col min="10498" max="10499" width="12.2685185185185" style="25" customWidth="1"/>
    <col min="10500" max="10500" width="10.4537037037037" style="25" customWidth="1"/>
    <col min="10501" max="10501" width="12.2685185185185" style="25" customWidth="1"/>
    <col min="10502" max="10502" width="19.9074074074074" style="25" customWidth="1"/>
    <col min="10503" max="10504" width="12.2685185185185" style="25" customWidth="1"/>
    <col min="10505" max="10505" width="8.62962962962963" style="25" customWidth="1"/>
    <col min="10506" max="10506" width="15.0925925925926" style="25" customWidth="1"/>
    <col min="10507" max="10507" width="12.2685185185185" style="25" customWidth="1"/>
    <col min="10508" max="10508" width="10.4537037037037" style="25" customWidth="1"/>
    <col min="10509" max="10509" width="12.2685185185185" style="25" customWidth="1"/>
    <col min="10510" max="10510" width="10.4537037037037" style="25" customWidth="1"/>
    <col min="10511" max="10513" width="12.2685185185185" style="25" customWidth="1"/>
    <col min="10514" max="10751" width="9" style="25"/>
    <col min="10752" max="10753" width="10.4537037037037" style="25" customWidth="1"/>
    <col min="10754" max="10755" width="12.2685185185185" style="25" customWidth="1"/>
    <col min="10756" max="10756" width="10.4537037037037" style="25" customWidth="1"/>
    <col min="10757" max="10757" width="12.2685185185185" style="25" customWidth="1"/>
    <col min="10758" max="10758" width="19.9074074074074" style="25" customWidth="1"/>
    <col min="10759" max="10760" width="12.2685185185185" style="25" customWidth="1"/>
    <col min="10761" max="10761" width="8.62962962962963" style="25" customWidth="1"/>
    <col min="10762" max="10762" width="15.0925925925926" style="25" customWidth="1"/>
    <col min="10763" max="10763" width="12.2685185185185" style="25" customWidth="1"/>
    <col min="10764" max="10764" width="10.4537037037037" style="25" customWidth="1"/>
    <col min="10765" max="10765" width="12.2685185185185" style="25" customWidth="1"/>
    <col min="10766" max="10766" width="10.4537037037037" style="25" customWidth="1"/>
    <col min="10767" max="10769" width="12.2685185185185" style="25" customWidth="1"/>
    <col min="10770" max="11007" width="9" style="25"/>
    <col min="11008" max="11009" width="10.4537037037037" style="25" customWidth="1"/>
    <col min="11010" max="11011" width="12.2685185185185" style="25" customWidth="1"/>
    <col min="11012" max="11012" width="10.4537037037037" style="25" customWidth="1"/>
    <col min="11013" max="11013" width="12.2685185185185" style="25" customWidth="1"/>
    <col min="11014" max="11014" width="19.9074074074074" style="25" customWidth="1"/>
    <col min="11015" max="11016" width="12.2685185185185" style="25" customWidth="1"/>
    <col min="11017" max="11017" width="8.62962962962963" style="25" customWidth="1"/>
    <col min="11018" max="11018" width="15.0925925925926" style="25" customWidth="1"/>
    <col min="11019" max="11019" width="12.2685185185185" style="25" customWidth="1"/>
    <col min="11020" max="11020" width="10.4537037037037" style="25" customWidth="1"/>
    <col min="11021" max="11021" width="12.2685185185185" style="25" customWidth="1"/>
    <col min="11022" max="11022" width="10.4537037037037" style="25" customWidth="1"/>
    <col min="11023" max="11025" width="12.2685185185185" style="25" customWidth="1"/>
    <col min="11026" max="11263" width="9" style="25"/>
    <col min="11264" max="11265" width="10.4537037037037" style="25" customWidth="1"/>
    <col min="11266" max="11267" width="12.2685185185185" style="25" customWidth="1"/>
    <col min="11268" max="11268" width="10.4537037037037" style="25" customWidth="1"/>
    <col min="11269" max="11269" width="12.2685185185185" style="25" customWidth="1"/>
    <col min="11270" max="11270" width="19.9074074074074" style="25" customWidth="1"/>
    <col min="11271" max="11272" width="12.2685185185185" style="25" customWidth="1"/>
    <col min="11273" max="11273" width="8.62962962962963" style="25" customWidth="1"/>
    <col min="11274" max="11274" width="15.0925925925926" style="25" customWidth="1"/>
    <col min="11275" max="11275" width="12.2685185185185" style="25" customWidth="1"/>
    <col min="11276" max="11276" width="10.4537037037037" style="25" customWidth="1"/>
    <col min="11277" max="11277" width="12.2685185185185" style="25" customWidth="1"/>
    <col min="11278" max="11278" width="10.4537037037037" style="25" customWidth="1"/>
    <col min="11279" max="11281" width="12.2685185185185" style="25" customWidth="1"/>
    <col min="11282" max="11519" width="9" style="25"/>
    <col min="11520" max="11521" width="10.4537037037037" style="25" customWidth="1"/>
    <col min="11522" max="11523" width="12.2685185185185" style="25" customWidth="1"/>
    <col min="11524" max="11524" width="10.4537037037037" style="25" customWidth="1"/>
    <col min="11525" max="11525" width="12.2685185185185" style="25" customWidth="1"/>
    <col min="11526" max="11526" width="19.9074074074074" style="25" customWidth="1"/>
    <col min="11527" max="11528" width="12.2685185185185" style="25" customWidth="1"/>
    <col min="11529" max="11529" width="8.62962962962963" style="25" customWidth="1"/>
    <col min="11530" max="11530" width="15.0925925925926" style="25" customWidth="1"/>
    <col min="11531" max="11531" width="12.2685185185185" style="25" customWidth="1"/>
    <col min="11532" max="11532" width="10.4537037037037" style="25" customWidth="1"/>
    <col min="11533" max="11533" width="12.2685185185185" style="25" customWidth="1"/>
    <col min="11534" max="11534" width="10.4537037037037" style="25" customWidth="1"/>
    <col min="11535" max="11537" width="12.2685185185185" style="25" customWidth="1"/>
    <col min="11538" max="11775" width="9" style="25"/>
    <col min="11776" max="11777" width="10.4537037037037" style="25" customWidth="1"/>
    <col min="11778" max="11779" width="12.2685185185185" style="25" customWidth="1"/>
    <col min="11780" max="11780" width="10.4537037037037" style="25" customWidth="1"/>
    <col min="11781" max="11781" width="12.2685185185185" style="25" customWidth="1"/>
    <col min="11782" max="11782" width="19.9074074074074" style="25" customWidth="1"/>
    <col min="11783" max="11784" width="12.2685185185185" style="25" customWidth="1"/>
    <col min="11785" max="11785" width="8.62962962962963" style="25" customWidth="1"/>
    <col min="11786" max="11786" width="15.0925925925926" style="25" customWidth="1"/>
    <col min="11787" max="11787" width="12.2685185185185" style="25" customWidth="1"/>
    <col min="11788" max="11788" width="10.4537037037037" style="25" customWidth="1"/>
    <col min="11789" max="11789" width="12.2685185185185" style="25" customWidth="1"/>
    <col min="11790" max="11790" width="10.4537037037037" style="25" customWidth="1"/>
    <col min="11791" max="11793" width="12.2685185185185" style="25" customWidth="1"/>
    <col min="11794" max="12031" width="9" style="25"/>
    <col min="12032" max="12033" width="10.4537037037037" style="25" customWidth="1"/>
    <col min="12034" max="12035" width="12.2685185185185" style="25" customWidth="1"/>
    <col min="12036" max="12036" width="10.4537037037037" style="25" customWidth="1"/>
    <col min="12037" max="12037" width="12.2685185185185" style="25" customWidth="1"/>
    <col min="12038" max="12038" width="19.9074074074074" style="25" customWidth="1"/>
    <col min="12039" max="12040" width="12.2685185185185" style="25" customWidth="1"/>
    <col min="12041" max="12041" width="8.62962962962963" style="25" customWidth="1"/>
    <col min="12042" max="12042" width="15.0925925925926" style="25" customWidth="1"/>
    <col min="12043" max="12043" width="12.2685185185185" style="25" customWidth="1"/>
    <col min="12044" max="12044" width="10.4537037037037" style="25" customWidth="1"/>
    <col min="12045" max="12045" width="12.2685185185185" style="25" customWidth="1"/>
    <col min="12046" max="12046" width="10.4537037037037" style="25" customWidth="1"/>
    <col min="12047" max="12049" width="12.2685185185185" style="25" customWidth="1"/>
    <col min="12050" max="12287" width="9" style="25"/>
    <col min="12288" max="12289" width="10.4537037037037" style="25" customWidth="1"/>
    <col min="12290" max="12291" width="12.2685185185185" style="25" customWidth="1"/>
    <col min="12292" max="12292" width="10.4537037037037" style="25" customWidth="1"/>
    <col min="12293" max="12293" width="12.2685185185185" style="25" customWidth="1"/>
    <col min="12294" max="12294" width="19.9074074074074" style="25" customWidth="1"/>
    <col min="12295" max="12296" width="12.2685185185185" style="25" customWidth="1"/>
    <col min="12297" max="12297" width="8.62962962962963" style="25" customWidth="1"/>
    <col min="12298" max="12298" width="15.0925925925926" style="25" customWidth="1"/>
    <col min="12299" max="12299" width="12.2685185185185" style="25" customWidth="1"/>
    <col min="12300" max="12300" width="10.4537037037037" style="25" customWidth="1"/>
    <col min="12301" max="12301" width="12.2685185185185" style="25" customWidth="1"/>
    <col min="12302" max="12302" width="10.4537037037037" style="25" customWidth="1"/>
    <col min="12303" max="12305" width="12.2685185185185" style="25" customWidth="1"/>
    <col min="12306" max="12543" width="9" style="25"/>
    <col min="12544" max="12545" width="10.4537037037037" style="25" customWidth="1"/>
    <col min="12546" max="12547" width="12.2685185185185" style="25" customWidth="1"/>
    <col min="12548" max="12548" width="10.4537037037037" style="25" customWidth="1"/>
    <col min="12549" max="12549" width="12.2685185185185" style="25" customWidth="1"/>
    <col min="12550" max="12550" width="19.9074074074074" style="25" customWidth="1"/>
    <col min="12551" max="12552" width="12.2685185185185" style="25" customWidth="1"/>
    <col min="12553" max="12553" width="8.62962962962963" style="25" customWidth="1"/>
    <col min="12554" max="12554" width="15.0925925925926" style="25" customWidth="1"/>
    <col min="12555" max="12555" width="12.2685185185185" style="25" customWidth="1"/>
    <col min="12556" max="12556" width="10.4537037037037" style="25" customWidth="1"/>
    <col min="12557" max="12557" width="12.2685185185185" style="25" customWidth="1"/>
    <col min="12558" max="12558" width="10.4537037037037" style="25" customWidth="1"/>
    <col min="12559" max="12561" width="12.2685185185185" style="25" customWidth="1"/>
    <col min="12562" max="12799" width="9" style="25"/>
    <col min="12800" max="12801" width="10.4537037037037" style="25" customWidth="1"/>
    <col min="12802" max="12803" width="12.2685185185185" style="25" customWidth="1"/>
    <col min="12804" max="12804" width="10.4537037037037" style="25" customWidth="1"/>
    <col min="12805" max="12805" width="12.2685185185185" style="25" customWidth="1"/>
    <col min="12806" max="12806" width="19.9074074074074" style="25" customWidth="1"/>
    <col min="12807" max="12808" width="12.2685185185185" style="25" customWidth="1"/>
    <col min="12809" max="12809" width="8.62962962962963" style="25" customWidth="1"/>
    <col min="12810" max="12810" width="15.0925925925926" style="25" customWidth="1"/>
    <col min="12811" max="12811" width="12.2685185185185" style="25" customWidth="1"/>
    <col min="12812" max="12812" width="10.4537037037037" style="25" customWidth="1"/>
    <col min="12813" max="12813" width="12.2685185185185" style="25" customWidth="1"/>
    <col min="12814" max="12814" width="10.4537037037037" style="25" customWidth="1"/>
    <col min="12815" max="12817" width="12.2685185185185" style="25" customWidth="1"/>
    <col min="12818" max="13055" width="9" style="25"/>
    <col min="13056" max="13057" width="10.4537037037037" style="25" customWidth="1"/>
    <col min="13058" max="13059" width="12.2685185185185" style="25" customWidth="1"/>
    <col min="13060" max="13060" width="10.4537037037037" style="25" customWidth="1"/>
    <col min="13061" max="13061" width="12.2685185185185" style="25" customWidth="1"/>
    <col min="13062" max="13062" width="19.9074074074074" style="25" customWidth="1"/>
    <col min="13063" max="13064" width="12.2685185185185" style="25" customWidth="1"/>
    <col min="13065" max="13065" width="8.62962962962963" style="25" customWidth="1"/>
    <col min="13066" max="13066" width="15.0925925925926" style="25" customWidth="1"/>
    <col min="13067" max="13067" width="12.2685185185185" style="25" customWidth="1"/>
    <col min="13068" max="13068" width="10.4537037037037" style="25" customWidth="1"/>
    <col min="13069" max="13069" width="12.2685185185185" style="25" customWidth="1"/>
    <col min="13070" max="13070" width="10.4537037037037" style="25" customWidth="1"/>
    <col min="13071" max="13073" width="12.2685185185185" style="25" customWidth="1"/>
    <col min="13074" max="13311" width="9" style="25"/>
    <col min="13312" max="13313" width="10.4537037037037" style="25" customWidth="1"/>
    <col min="13314" max="13315" width="12.2685185185185" style="25" customWidth="1"/>
    <col min="13316" max="13316" width="10.4537037037037" style="25" customWidth="1"/>
    <col min="13317" max="13317" width="12.2685185185185" style="25" customWidth="1"/>
    <col min="13318" max="13318" width="19.9074074074074" style="25" customWidth="1"/>
    <col min="13319" max="13320" width="12.2685185185185" style="25" customWidth="1"/>
    <col min="13321" max="13321" width="8.62962962962963" style="25" customWidth="1"/>
    <col min="13322" max="13322" width="15.0925925925926" style="25" customWidth="1"/>
    <col min="13323" max="13323" width="12.2685185185185" style="25" customWidth="1"/>
    <col min="13324" max="13324" width="10.4537037037037" style="25" customWidth="1"/>
    <col min="13325" max="13325" width="12.2685185185185" style="25" customWidth="1"/>
    <col min="13326" max="13326" width="10.4537037037037" style="25" customWidth="1"/>
    <col min="13327" max="13329" width="12.2685185185185" style="25" customWidth="1"/>
    <col min="13330" max="13567" width="9" style="25"/>
    <col min="13568" max="13569" width="10.4537037037037" style="25" customWidth="1"/>
    <col min="13570" max="13571" width="12.2685185185185" style="25" customWidth="1"/>
    <col min="13572" max="13572" width="10.4537037037037" style="25" customWidth="1"/>
    <col min="13573" max="13573" width="12.2685185185185" style="25" customWidth="1"/>
    <col min="13574" max="13574" width="19.9074074074074" style="25" customWidth="1"/>
    <col min="13575" max="13576" width="12.2685185185185" style="25" customWidth="1"/>
    <col min="13577" max="13577" width="8.62962962962963" style="25" customWidth="1"/>
    <col min="13578" max="13578" width="15.0925925925926" style="25" customWidth="1"/>
    <col min="13579" max="13579" width="12.2685185185185" style="25" customWidth="1"/>
    <col min="13580" max="13580" width="10.4537037037037" style="25" customWidth="1"/>
    <col min="13581" max="13581" width="12.2685185185185" style="25" customWidth="1"/>
    <col min="13582" max="13582" width="10.4537037037037" style="25" customWidth="1"/>
    <col min="13583" max="13585" width="12.2685185185185" style="25" customWidth="1"/>
    <col min="13586" max="13823" width="9" style="25"/>
    <col min="13824" max="13825" width="10.4537037037037" style="25" customWidth="1"/>
    <col min="13826" max="13827" width="12.2685185185185" style="25" customWidth="1"/>
    <col min="13828" max="13828" width="10.4537037037037" style="25" customWidth="1"/>
    <col min="13829" max="13829" width="12.2685185185185" style="25" customWidth="1"/>
    <col min="13830" max="13830" width="19.9074074074074" style="25" customWidth="1"/>
    <col min="13831" max="13832" width="12.2685185185185" style="25" customWidth="1"/>
    <col min="13833" max="13833" width="8.62962962962963" style="25" customWidth="1"/>
    <col min="13834" max="13834" width="15.0925925925926" style="25" customWidth="1"/>
    <col min="13835" max="13835" width="12.2685185185185" style="25" customWidth="1"/>
    <col min="13836" max="13836" width="10.4537037037037" style="25" customWidth="1"/>
    <col min="13837" max="13837" width="12.2685185185185" style="25" customWidth="1"/>
    <col min="13838" max="13838" width="10.4537037037037" style="25" customWidth="1"/>
    <col min="13839" max="13841" width="12.2685185185185" style="25" customWidth="1"/>
    <col min="13842" max="14079" width="9" style="25"/>
    <col min="14080" max="14081" width="10.4537037037037" style="25" customWidth="1"/>
    <col min="14082" max="14083" width="12.2685185185185" style="25" customWidth="1"/>
    <col min="14084" max="14084" width="10.4537037037037" style="25" customWidth="1"/>
    <col min="14085" max="14085" width="12.2685185185185" style="25" customWidth="1"/>
    <col min="14086" max="14086" width="19.9074074074074" style="25" customWidth="1"/>
    <col min="14087" max="14088" width="12.2685185185185" style="25" customWidth="1"/>
    <col min="14089" max="14089" width="8.62962962962963" style="25" customWidth="1"/>
    <col min="14090" max="14090" width="15.0925925925926" style="25" customWidth="1"/>
    <col min="14091" max="14091" width="12.2685185185185" style="25" customWidth="1"/>
    <col min="14092" max="14092" width="10.4537037037037" style="25" customWidth="1"/>
    <col min="14093" max="14093" width="12.2685185185185" style="25" customWidth="1"/>
    <col min="14094" max="14094" width="10.4537037037037" style="25" customWidth="1"/>
    <col min="14095" max="14097" width="12.2685185185185" style="25" customWidth="1"/>
    <col min="14098" max="14335" width="9" style="25"/>
    <col min="14336" max="14337" width="10.4537037037037" style="25" customWidth="1"/>
    <col min="14338" max="14339" width="12.2685185185185" style="25" customWidth="1"/>
    <col min="14340" max="14340" width="10.4537037037037" style="25" customWidth="1"/>
    <col min="14341" max="14341" width="12.2685185185185" style="25" customWidth="1"/>
    <col min="14342" max="14342" width="19.9074074074074" style="25" customWidth="1"/>
    <col min="14343" max="14344" width="12.2685185185185" style="25" customWidth="1"/>
    <col min="14345" max="14345" width="8.62962962962963" style="25" customWidth="1"/>
    <col min="14346" max="14346" width="15.0925925925926" style="25" customWidth="1"/>
    <col min="14347" max="14347" width="12.2685185185185" style="25" customWidth="1"/>
    <col min="14348" max="14348" width="10.4537037037037" style="25" customWidth="1"/>
    <col min="14349" max="14349" width="12.2685185185185" style="25" customWidth="1"/>
    <col min="14350" max="14350" width="10.4537037037037" style="25" customWidth="1"/>
    <col min="14351" max="14353" width="12.2685185185185" style="25" customWidth="1"/>
    <col min="14354" max="14591" width="9" style="25"/>
    <col min="14592" max="14593" width="10.4537037037037" style="25" customWidth="1"/>
    <col min="14594" max="14595" width="12.2685185185185" style="25" customWidth="1"/>
    <col min="14596" max="14596" width="10.4537037037037" style="25" customWidth="1"/>
    <col min="14597" max="14597" width="12.2685185185185" style="25" customWidth="1"/>
    <col min="14598" max="14598" width="19.9074074074074" style="25" customWidth="1"/>
    <col min="14599" max="14600" width="12.2685185185185" style="25" customWidth="1"/>
    <col min="14601" max="14601" width="8.62962962962963" style="25" customWidth="1"/>
    <col min="14602" max="14602" width="15.0925925925926" style="25" customWidth="1"/>
    <col min="14603" max="14603" width="12.2685185185185" style="25" customWidth="1"/>
    <col min="14604" max="14604" width="10.4537037037037" style="25" customWidth="1"/>
    <col min="14605" max="14605" width="12.2685185185185" style="25" customWidth="1"/>
    <col min="14606" max="14606" width="10.4537037037037" style="25" customWidth="1"/>
    <col min="14607" max="14609" width="12.2685185185185" style="25" customWidth="1"/>
    <col min="14610" max="14847" width="9" style="25"/>
    <col min="14848" max="14849" width="10.4537037037037" style="25" customWidth="1"/>
    <col min="14850" max="14851" width="12.2685185185185" style="25" customWidth="1"/>
    <col min="14852" max="14852" width="10.4537037037037" style="25" customWidth="1"/>
    <col min="14853" max="14853" width="12.2685185185185" style="25" customWidth="1"/>
    <col min="14854" max="14854" width="19.9074074074074" style="25" customWidth="1"/>
    <col min="14855" max="14856" width="12.2685185185185" style="25" customWidth="1"/>
    <col min="14857" max="14857" width="8.62962962962963" style="25" customWidth="1"/>
    <col min="14858" max="14858" width="15.0925925925926" style="25" customWidth="1"/>
    <col min="14859" max="14859" width="12.2685185185185" style="25" customWidth="1"/>
    <col min="14860" max="14860" width="10.4537037037037" style="25" customWidth="1"/>
    <col min="14861" max="14861" width="12.2685185185185" style="25" customWidth="1"/>
    <col min="14862" max="14862" width="10.4537037037037" style="25" customWidth="1"/>
    <col min="14863" max="14865" width="12.2685185185185" style="25" customWidth="1"/>
    <col min="14866" max="15103" width="9" style="25"/>
    <col min="15104" max="15105" width="10.4537037037037" style="25" customWidth="1"/>
    <col min="15106" max="15107" width="12.2685185185185" style="25" customWidth="1"/>
    <col min="15108" max="15108" width="10.4537037037037" style="25" customWidth="1"/>
    <col min="15109" max="15109" width="12.2685185185185" style="25" customWidth="1"/>
    <col min="15110" max="15110" width="19.9074074074074" style="25" customWidth="1"/>
    <col min="15111" max="15112" width="12.2685185185185" style="25" customWidth="1"/>
    <col min="15113" max="15113" width="8.62962962962963" style="25" customWidth="1"/>
    <col min="15114" max="15114" width="15.0925925925926" style="25" customWidth="1"/>
    <col min="15115" max="15115" width="12.2685185185185" style="25" customWidth="1"/>
    <col min="15116" max="15116" width="10.4537037037037" style="25" customWidth="1"/>
    <col min="15117" max="15117" width="12.2685185185185" style="25" customWidth="1"/>
    <col min="15118" max="15118" width="10.4537037037037" style="25" customWidth="1"/>
    <col min="15119" max="15121" width="12.2685185185185" style="25" customWidth="1"/>
    <col min="15122" max="15359" width="9" style="25"/>
    <col min="15360" max="15361" width="10.4537037037037" style="25" customWidth="1"/>
    <col min="15362" max="15363" width="12.2685185185185" style="25" customWidth="1"/>
    <col min="15364" max="15364" width="10.4537037037037" style="25" customWidth="1"/>
    <col min="15365" max="15365" width="12.2685185185185" style="25" customWidth="1"/>
    <col min="15366" max="15366" width="19.9074074074074" style="25" customWidth="1"/>
    <col min="15367" max="15368" width="12.2685185185185" style="25" customWidth="1"/>
    <col min="15369" max="15369" width="8.62962962962963" style="25" customWidth="1"/>
    <col min="15370" max="15370" width="15.0925925925926" style="25" customWidth="1"/>
    <col min="15371" max="15371" width="12.2685185185185" style="25" customWidth="1"/>
    <col min="15372" max="15372" width="10.4537037037037" style="25" customWidth="1"/>
    <col min="15373" max="15373" width="12.2685185185185" style="25" customWidth="1"/>
    <col min="15374" max="15374" width="10.4537037037037" style="25" customWidth="1"/>
    <col min="15375" max="15377" width="12.2685185185185" style="25" customWidth="1"/>
    <col min="15378" max="15615" width="9" style="25"/>
    <col min="15616" max="15617" width="10.4537037037037" style="25" customWidth="1"/>
    <col min="15618" max="15619" width="12.2685185185185" style="25" customWidth="1"/>
    <col min="15620" max="15620" width="10.4537037037037" style="25" customWidth="1"/>
    <col min="15621" max="15621" width="12.2685185185185" style="25" customWidth="1"/>
    <col min="15622" max="15622" width="19.9074074074074" style="25" customWidth="1"/>
    <col min="15623" max="15624" width="12.2685185185185" style="25" customWidth="1"/>
    <col min="15625" max="15625" width="8.62962962962963" style="25" customWidth="1"/>
    <col min="15626" max="15626" width="15.0925925925926" style="25" customWidth="1"/>
    <col min="15627" max="15627" width="12.2685185185185" style="25" customWidth="1"/>
    <col min="15628" max="15628" width="10.4537037037037" style="25" customWidth="1"/>
    <col min="15629" max="15629" width="12.2685185185185" style="25" customWidth="1"/>
    <col min="15630" max="15630" width="10.4537037037037" style="25" customWidth="1"/>
    <col min="15631" max="15633" width="12.2685185185185" style="25" customWidth="1"/>
    <col min="15634" max="15871" width="9" style="25"/>
    <col min="15872" max="15873" width="10.4537037037037" style="25" customWidth="1"/>
    <col min="15874" max="15875" width="12.2685185185185" style="25" customWidth="1"/>
    <col min="15876" max="15876" width="10.4537037037037" style="25" customWidth="1"/>
    <col min="15877" max="15877" width="12.2685185185185" style="25" customWidth="1"/>
    <col min="15878" max="15878" width="19.9074074074074" style="25" customWidth="1"/>
    <col min="15879" max="15880" width="12.2685185185185" style="25" customWidth="1"/>
    <col min="15881" max="15881" width="8.62962962962963" style="25" customWidth="1"/>
    <col min="15882" max="15882" width="15.0925925925926" style="25" customWidth="1"/>
    <col min="15883" max="15883" width="12.2685185185185" style="25" customWidth="1"/>
    <col min="15884" max="15884" width="10.4537037037037" style="25" customWidth="1"/>
    <col min="15885" max="15885" width="12.2685185185185" style="25" customWidth="1"/>
    <col min="15886" max="15886" width="10.4537037037037" style="25" customWidth="1"/>
    <col min="15887" max="15889" width="12.2685185185185" style="25" customWidth="1"/>
    <col min="15890" max="16127" width="9" style="25"/>
    <col min="16128" max="16129" width="10.4537037037037" style="25" customWidth="1"/>
    <col min="16130" max="16131" width="12.2685185185185" style="25" customWidth="1"/>
    <col min="16132" max="16132" width="10.4537037037037" style="25" customWidth="1"/>
    <col min="16133" max="16133" width="12.2685185185185" style="25" customWidth="1"/>
    <col min="16134" max="16134" width="19.9074074074074" style="25" customWidth="1"/>
    <col min="16135" max="16136" width="12.2685185185185" style="25" customWidth="1"/>
    <col min="16137" max="16137" width="8.62962962962963" style="25" customWidth="1"/>
    <col min="16138" max="16138" width="15.0925925925926" style="25" customWidth="1"/>
    <col min="16139" max="16139" width="12.2685185185185" style="25" customWidth="1"/>
    <col min="16140" max="16140" width="10.4537037037037" style="25" customWidth="1"/>
    <col min="16141" max="16141" width="12.2685185185185" style="25" customWidth="1"/>
    <col min="16142" max="16142" width="10.4537037037037" style="25" customWidth="1"/>
    <col min="16143" max="16145" width="12.2685185185185" style="25" customWidth="1"/>
    <col min="16146" max="16384" width="9" style="25"/>
  </cols>
  <sheetData>
    <row r="1" ht="14.65" customHeight="1" spans="1:17">
      <c r="A1" s="27" t="s">
        <v>38</v>
      </c>
      <c r="B1" s="28" t="s">
        <v>74</v>
      </c>
      <c r="C1" s="29"/>
      <c r="D1" s="29"/>
      <c r="E1" s="29"/>
      <c r="F1" s="29"/>
      <c r="G1" s="23"/>
      <c r="H1" s="30"/>
      <c r="I1" s="30"/>
      <c r="J1" s="30"/>
      <c r="K1" s="30"/>
      <c r="L1" s="23"/>
      <c r="M1" s="30"/>
      <c r="N1" s="30"/>
      <c r="O1" s="30"/>
      <c r="P1" s="30"/>
      <c r="Q1" s="30"/>
    </row>
    <row r="2" ht="14.4" outlineLevel="1" spans="1:17">
      <c r="A2" s="27" t="s">
        <v>13</v>
      </c>
      <c r="B2" s="31" t="s">
        <v>75</v>
      </c>
      <c r="C2" s="31"/>
      <c r="D2" s="31"/>
      <c r="E2" s="31"/>
      <c r="L2" s="23"/>
      <c r="M2" s="30"/>
      <c r="N2" s="30"/>
      <c r="O2" s="30"/>
      <c r="P2" s="30"/>
      <c r="Q2" s="30"/>
    </row>
    <row r="3" s="23" customFormat="1" ht="14.4" outlineLevel="1" spans="1:17">
      <c r="A3" s="27" t="s">
        <v>76</v>
      </c>
      <c r="B3" s="31">
        <f>COUNTA(B9:B387)</f>
        <v>0</v>
      </c>
      <c r="C3" s="31"/>
      <c r="D3" s="31"/>
      <c r="E3" s="31"/>
      <c r="G3" s="32"/>
      <c r="H3" s="32"/>
      <c r="I3" s="32"/>
      <c r="J3" s="32"/>
      <c r="K3" s="32"/>
      <c r="M3" s="30"/>
      <c r="N3" s="30"/>
      <c r="O3" s="30"/>
      <c r="P3" s="30"/>
      <c r="Q3" s="30"/>
    </row>
    <row r="4" s="23" customFormat="1" ht="14.4" outlineLevel="1" spans="1:17">
      <c r="A4" s="33" t="s">
        <v>77</v>
      </c>
      <c r="B4" s="31">
        <f>COUNTIF(H9:H387,"5-严重错误")+COUNTIF(H9:H387,"6-系统崩溃")+COUNTIF(H9:H387,"4-次要错误")</f>
        <v>0</v>
      </c>
      <c r="C4" s="31"/>
      <c r="D4" s="31"/>
      <c r="E4" s="31"/>
      <c r="G4" s="32"/>
      <c r="H4" s="32"/>
      <c r="I4" s="32"/>
      <c r="J4" s="32"/>
      <c r="K4" s="32"/>
      <c r="M4" s="30"/>
      <c r="N4" s="30"/>
      <c r="O4" s="30"/>
      <c r="P4" s="30"/>
      <c r="Q4" s="30"/>
    </row>
    <row r="5" s="23" customFormat="1" ht="14.4" outlineLevel="1" spans="1:17">
      <c r="A5" s="33" t="s">
        <v>78</v>
      </c>
      <c r="B5" s="31">
        <f>COUNTIF(H9:H387,"2-文字错误")+COUNTIF(H9:H387,"3-轻微错误")</f>
        <v>0</v>
      </c>
      <c r="C5" s="31"/>
      <c r="D5" s="31"/>
      <c r="E5" s="31"/>
      <c r="G5" s="32"/>
      <c r="H5" s="32"/>
      <c r="I5" s="32"/>
      <c r="J5" s="32"/>
      <c r="K5" s="32"/>
      <c r="M5" s="30"/>
      <c r="N5" s="30"/>
      <c r="O5" s="30"/>
      <c r="P5" s="30"/>
      <c r="Q5" s="30"/>
    </row>
    <row r="6" s="23" customFormat="1" ht="14.4" outlineLevel="1" spans="1:17">
      <c r="A6" s="33" t="s">
        <v>79</v>
      </c>
      <c r="B6" s="31">
        <f>COUNTIF(H9:H387,"1-建议性")</f>
        <v>0</v>
      </c>
      <c r="C6" s="31"/>
      <c r="D6" s="31"/>
      <c r="E6" s="31"/>
      <c r="G6" s="32"/>
      <c r="H6" s="32"/>
      <c r="I6" s="32"/>
      <c r="J6" s="32"/>
      <c r="K6" s="32"/>
      <c r="M6" s="30"/>
      <c r="N6" s="30"/>
      <c r="O6" s="30"/>
      <c r="P6" s="30"/>
      <c r="Q6" s="30"/>
    </row>
    <row r="7" s="23" customFormat="1" ht="14.4" outlineLevel="1" spans="1:17">
      <c r="A7" s="34" t="s">
        <v>80</v>
      </c>
      <c r="B7" s="35"/>
      <c r="C7" s="35"/>
      <c r="D7" s="35"/>
      <c r="E7" s="35"/>
      <c r="G7" s="32"/>
      <c r="H7" s="32"/>
      <c r="I7" s="32"/>
      <c r="J7" s="32"/>
      <c r="K7" s="32"/>
      <c r="M7" s="30"/>
      <c r="N7" s="30"/>
      <c r="O7" s="30"/>
      <c r="P7" s="30"/>
      <c r="Q7" s="30"/>
    </row>
    <row r="8" s="24" customFormat="1" ht="16.2" spans="1:17">
      <c r="A8" s="36" t="s">
        <v>48</v>
      </c>
      <c r="B8" s="36" t="s">
        <v>81</v>
      </c>
      <c r="C8" s="36" t="s">
        <v>47</v>
      </c>
      <c r="D8" s="36" t="s">
        <v>82</v>
      </c>
      <c r="E8" s="36" t="s">
        <v>83</v>
      </c>
      <c r="F8" s="36" t="s">
        <v>84</v>
      </c>
      <c r="G8" s="36" t="s">
        <v>85</v>
      </c>
      <c r="H8" s="36" t="s">
        <v>86</v>
      </c>
      <c r="I8" s="36" t="s">
        <v>87</v>
      </c>
      <c r="J8" s="36" t="s">
        <v>88</v>
      </c>
      <c r="K8" s="36" t="s">
        <v>89</v>
      </c>
      <c r="L8" s="36" t="s">
        <v>90</v>
      </c>
      <c r="M8" s="36" t="s">
        <v>91</v>
      </c>
      <c r="N8" s="36" t="s">
        <v>92</v>
      </c>
      <c r="O8" s="36" t="s">
        <v>93</v>
      </c>
      <c r="P8" s="36" t="s">
        <v>94</v>
      </c>
      <c r="Q8" s="36" t="s">
        <v>95</v>
      </c>
    </row>
    <row r="9" spans="1:17">
      <c r="A9" s="37"/>
      <c r="B9" s="38"/>
      <c r="C9" s="39"/>
      <c r="D9" s="40"/>
      <c r="E9" s="38"/>
      <c r="F9" s="41"/>
      <c r="G9" s="41"/>
      <c r="H9" s="39"/>
      <c r="I9" s="39"/>
      <c r="J9" s="39"/>
      <c r="K9" s="39"/>
      <c r="L9" s="41"/>
      <c r="M9" s="39"/>
      <c r="N9" s="42"/>
      <c r="O9" s="39"/>
      <c r="P9" s="42"/>
      <c r="Q9" s="37"/>
    </row>
    <row r="10" spans="1:17">
      <c r="A10" s="37"/>
      <c r="B10" s="38"/>
      <c r="C10" s="39"/>
      <c r="D10" s="40"/>
      <c r="E10" s="38"/>
      <c r="F10" s="41"/>
      <c r="G10" s="41"/>
      <c r="H10" s="39"/>
      <c r="I10" s="39"/>
      <c r="J10" s="39"/>
      <c r="K10" s="39"/>
      <c r="L10" s="41"/>
      <c r="M10" s="39"/>
      <c r="N10" s="42"/>
      <c r="O10" s="39"/>
      <c r="P10" s="42"/>
      <c r="Q10" s="37"/>
    </row>
    <row r="11" spans="1:17">
      <c r="A11" s="37"/>
      <c r="B11" s="38"/>
      <c r="C11" s="39"/>
      <c r="D11" s="40"/>
      <c r="E11" s="38"/>
      <c r="F11" s="41"/>
      <c r="G11" s="41"/>
      <c r="H11" s="39"/>
      <c r="I11" s="39"/>
      <c r="J11" s="39"/>
      <c r="K11" s="39"/>
      <c r="L11" s="41"/>
      <c r="M11" s="39"/>
      <c r="N11" s="42"/>
      <c r="O11" s="39"/>
      <c r="P11" s="42"/>
      <c r="Q11" s="37"/>
    </row>
    <row r="12" spans="1:17">
      <c r="A12" s="37"/>
      <c r="B12" s="38"/>
      <c r="C12" s="39"/>
      <c r="D12" s="40"/>
      <c r="E12" s="38"/>
      <c r="F12" s="41"/>
      <c r="G12" s="41"/>
      <c r="H12" s="39"/>
      <c r="I12" s="39"/>
      <c r="J12" s="39"/>
      <c r="K12" s="39"/>
      <c r="L12" s="41"/>
      <c r="M12" s="39"/>
      <c r="N12" s="42"/>
      <c r="O12" s="39"/>
      <c r="P12" s="42"/>
      <c r="Q12" s="37"/>
    </row>
  </sheetData>
  <mergeCells count="12">
    <mergeCell ref="B1:F1"/>
    <mergeCell ref="B2:E2"/>
    <mergeCell ref="B3:E3"/>
    <mergeCell ref="G3:K3"/>
    <mergeCell ref="B4:E4"/>
    <mergeCell ref="G4:K4"/>
    <mergeCell ref="B5:E5"/>
    <mergeCell ref="G5:K5"/>
    <mergeCell ref="B6:E6"/>
    <mergeCell ref="G6:K6"/>
    <mergeCell ref="B7:E7"/>
    <mergeCell ref="G7:K7"/>
  </mergeCells>
  <dataValidations count="6">
    <dataValidation showErrorMessage="1" prompt="&#10;" sqref="H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H65431 JC65431 SY65431 ACU65431 AMQ65431 AWM65431 BGI65431 BQE65431 CAA65431 CJW65431 CTS65431 DDO65431 DNK65431 DXG65431 EHC65431 EQY65431 FAU65431 FKQ65431 FUM65431 GEI65431 GOE65431 GYA65431 HHW65431 HRS65431 IBO65431 ILK65431 IVG65431 JFC65431 JOY65431 JYU65431 KIQ65431 KSM65431 LCI65431 LME65431 LWA65431 MFW65431 MPS65431 MZO65431 NJK65431 NTG65431 ODC65431 OMY65431 OWU65431 PGQ65431 PQM65431 QAI65431 QKE65431 QUA65431 RDW65431 RNS65431 RXO65431 SHK65431 SRG65431 TBC65431 TKY65431 TUU65431 UEQ65431 UOM65431 UYI65431 VIE65431 VSA65431 WBW65431 WLS65431 WVO65431 H130967 JC130967 SY130967 ACU130967 AMQ130967 AWM130967 BGI130967 BQE130967 CAA130967 CJW130967 CTS130967 DDO130967 DNK130967 DXG130967 EHC130967 EQY130967 FAU130967 FKQ130967 FUM130967 GEI130967 GOE130967 GYA130967 HHW130967 HRS130967 IBO130967 ILK130967 IVG130967 JFC130967 JOY130967 JYU130967 KIQ130967 KSM130967 LCI130967 LME130967 LWA130967 MFW130967 MPS130967 MZO130967 NJK130967 NTG130967 ODC130967 OMY130967 OWU130967 PGQ130967 PQM130967 QAI130967 QKE130967 QUA130967 RDW130967 RNS130967 RXO130967 SHK130967 SRG130967 TBC130967 TKY130967 TUU130967 UEQ130967 UOM130967 UYI130967 VIE130967 VSA130967 WBW130967 WLS130967 WVO130967 H196503 JC196503 SY196503 ACU196503 AMQ196503 AWM196503 BGI196503 BQE196503 CAA196503 CJW196503 CTS196503 DDO196503 DNK196503 DXG196503 EHC196503 EQY196503 FAU196503 FKQ196503 FUM196503 GEI196503 GOE196503 GYA196503 HHW196503 HRS196503 IBO196503 ILK196503 IVG196503 JFC196503 JOY196503 JYU196503 KIQ196503 KSM196503 LCI196503 LME196503 LWA196503 MFW196503 MPS196503 MZO196503 NJK196503 NTG196503 ODC196503 OMY196503 OWU196503 PGQ196503 PQM196503 QAI196503 QKE196503 QUA196503 RDW196503 RNS196503 RXO196503 SHK196503 SRG196503 TBC196503 TKY196503 TUU196503 UEQ196503 UOM196503 UYI196503 VIE196503 VSA196503 WBW196503 WLS196503 WVO196503 H262039 JC262039 SY262039 ACU262039 AMQ262039 AWM262039 BGI262039 BQE262039 CAA262039 CJW262039 CTS262039 DDO262039 DNK262039 DXG262039 EHC262039 EQY262039 FAU262039 FKQ262039 FUM262039 GEI262039 GOE262039 GYA262039 HHW262039 HRS262039 IBO262039 ILK262039 IVG262039 JFC262039 JOY262039 JYU262039 KIQ262039 KSM262039 LCI262039 LME262039 LWA262039 MFW262039 MPS262039 MZO262039 NJK262039 NTG262039 ODC262039 OMY262039 OWU262039 PGQ262039 PQM262039 QAI262039 QKE262039 QUA262039 RDW262039 RNS262039 RXO262039 SHK262039 SRG262039 TBC262039 TKY262039 TUU262039 UEQ262039 UOM262039 UYI262039 VIE262039 VSA262039 WBW262039 WLS262039 WVO262039 H327575 JC327575 SY327575 ACU327575 AMQ327575 AWM327575 BGI327575 BQE327575 CAA327575 CJW327575 CTS327575 DDO327575 DNK327575 DXG327575 EHC327575 EQY327575 FAU327575 FKQ327575 FUM327575 GEI327575 GOE327575 GYA327575 HHW327575 HRS327575 IBO327575 ILK327575 IVG327575 JFC327575 JOY327575 JYU327575 KIQ327575 KSM327575 LCI327575 LME327575 LWA327575 MFW327575 MPS327575 MZO327575 NJK327575 NTG327575 ODC327575 OMY327575 OWU327575 PGQ327575 PQM327575 QAI327575 QKE327575 QUA327575 RDW327575 RNS327575 RXO327575 SHK327575 SRG327575 TBC327575 TKY327575 TUU327575 UEQ327575 UOM327575 UYI327575 VIE327575 VSA327575 WBW327575 WLS327575 WVO327575 H393111 JC393111 SY393111 ACU393111 AMQ393111 AWM393111 BGI393111 BQE393111 CAA393111 CJW393111 CTS393111 DDO393111 DNK393111 DXG393111 EHC393111 EQY393111 FAU393111 FKQ393111 FUM393111 GEI393111 GOE393111 GYA393111 HHW393111 HRS393111 IBO393111 ILK393111 IVG393111 JFC393111 JOY393111 JYU393111 KIQ393111 KSM393111 LCI393111 LME393111 LWA393111 MFW393111 MPS393111 MZO393111 NJK393111 NTG393111 ODC393111 OMY393111 OWU393111 PGQ393111 PQM393111 QAI393111 QKE393111 QUA393111 RDW393111 RNS393111 RXO393111 SHK393111 SRG393111 TBC393111 TKY393111 TUU393111 UEQ393111 UOM393111 UYI393111 VIE393111 VSA393111 WBW393111 WLS393111 WVO393111 H458647 JC458647 SY458647 ACU458647 AMQ458647 AWM458647 BGI458647 BQE458647 CAA458647 CJW458647 CTS458647 DDO458647 DNK458647 DXG458647 EHC458647 EQY458647 FAU458647 FKQ458647 FUM458647 GEI458647 GOE458647 GYA458647 HHW458647 HRS458647 IBO458647 ILK458647 IVG458647 JFC458647 JOY458647 JYU458647 KIQ458647 KSM458647 LCI458647 LME458647 LWA458647 MFW458647 MPS458647 MZO458647 NJK458647 NTG458647 ODC458647 OMY458647 OWU458647 PGQ458647 PQM458647 QAI458647 QKE458647 QUA458647 RDW458647 RNS458647 RXO458647 SHK458647 SRG458647 TBC458647 TKY458647 TUU458647 UEQ458647 UOM458647 UYI458647 VIE458647 VSA458647 WBW458647 WLS458647 WVO458647 H524183 JC524183 SY524183 ACU524183 AMQ524183 AWM524183 BGI524183 BQE524183 CAA524183 CJW524183 CTS524183 DDO524183 DNK524183 DXG524183 EHC524183 EQY524183 FAU524183 FKQ524183 FUM524183 GEI524183 GOE524183 GYA524183 HHW524183 HRS524183 IBO524183 ILK524183 IVG524183 JFC524183 JOY524183 JYU524183 KIQ524183 KSM524183 LCI524183 LME524183 LWA524183 MFW524183 MPS524183 MZO524183 NJK524183 NTG524183 ODC524183 OMY524183 OWU524183 PGQ524183 PQM524183 QAI524183 QKE524183 QUA524183 RDW524183 RNS524183 RXO524183 SHK524183 SRG524183 TBC524183 TKY524183 TUU524183 UEQ524183 UOM524183 UYI524183 VIE524183 VSA524183 WBW524183 WLS524183 WVO524183 H589719 JC589719 SY589719 ACU589719 AMQ589719 AWM589719 BGI589719 BQE589719 CAA589719 CJW589719 CTS589719 DDO589719 DNK589719 DXG589719 EHC589719 EQY589719 FAU589719 FKQ589719 FUM589719 GEI589719 GOE589719 GYA589719 HHW589719 HRS589719 IBO589719 ILK589719 IVG589719 JFC589719 JOY589719 JYU589719 KIQ589719 KSM589719 LCI589719 LME589719 LWA589719 MFW589719 MPS589719 MZO589719 NJK589719 NTG589719 ODC589719 OMY589719 OWU589719 PGQ589719 PQM589719 QAI589719 QKE589719 QUA589719 RDW589719 RNS589719 RXO589719 SHK589719 SRG589719 TBC589719 TKY589719 TUU589719 UEQ589719 UOM589719 UYI589719 VIE589719 VSA589719 WBW589719 WLS589719 WVO589719 H655255 JC655255 SY655255 ACU655255 AMQ655255 AWM655255 BGI655255 BQE655255 CAA655255 CJW655255 CTS655255 DDO655255 DNK655255 DXG655255 EHC655255 EQY655255 FAU655255 FKQ655255 FUM655255 GEI655255 GOE655255 GYA655255 HHW655255 HRS655255 IBO655255 ILK655255 IVG655255 JFC655255 JOY655255 JYU655255 KIQ655255 KSM655255 LCI655255 LME655255 LWA655255 MFW655255 MPS655255 MZO655255 NJK655255 NTG655255 ODC655255 OMY655255 OWU655255 PGQ655255 PQM655255 QAI655255 QKE655255 QUA655255 RDW655255 RNS655255 RXO655255 SHK655255 SRG655255 TBC655255 TKY655255 TUU655255 UEQ655255 UOM655255 UYI655255 VIE655255 VSA655255 WBW655255 WLS655255 WVO655255 H720791 JC720791 SY720791 ACU720791 AMQ720791 AWM720791 BGI720791 BQE720791 CAA720791 CJW720791 CTS720791 DDO720791 DNK720791 DXG720791 EHC720791 EQY720791 FAU720791 FKQ720791 FUM720791 GEI720791 GOE720791 GYA720791 HHW720791 HRS720791 IBO720791 ILK720791 IVG720791 JFC720791 JOY720791 JYU720791 KIQ720791 KSM720791 LCI720791 LME720791 LWA720791 MFW720791 MPS720791 MZO720791 NJK720791 NTG720791 ODC720791 OMY720791 OWU720791 PGQ720791 PQM720791 QAI720791 QKE720791 QUA720791 RDW720791 RNS720791 RXO720791 SHK720791 SRG720791 TBC720791 TKY720791 TUU720791 UEQ720791 UOM720791 UYI720791 VIE720791 VSA720791 WBW720791 WLS720791 WVO720791 H786327 JC786327 SY786327 ACU786327 AMQ786327 AWM786327 BGI786327 BQE786327 CAA786327 CJW786327 CTS786327 DDO786327 DNK786327 DXG786327 EHC786327 EQY786327 FAU786327 FKQ786327 FUM786327 GEI786327 GOE786327 GYA786327 HHW786327 HRS786327 IBO786327 ILK786327 IVG786327 JFC786327 JOY786327 JYU786327 KIQ786327 KSM786327 LCI786327 LME786327 LWA786327 MFW786327 MPS786327 MZO786327 NJK786327 NTG786327 ODC786327 OMY786327 OWU786327 PGQ786327 PQM786327 QAI786327 QKE786327 QUA786327 RDW786327 RNS786327 RXO786327 SHK786327 SRG786327 TBC786327 TKY786327 TUU786327 UEQ786327 UOM786327 UYI786327 VIE786327 VSA786327 WBW786327 WLS786327 WVO786327 H851863 JC851863 SY851863 ACU851863 AMQ851863 AWM851863 BGI851863 BQE851863 CAA851863 CJW851863 CTS851863 DDO851863 DNK851863 DXG851863 EHC851863 EQY851863 FAU851863 FKQ851863 FUM851863 GEI851863 GOE851863 GYA851863 HHW851863 HRS851863 IBO851863 ILK851863 IVG851863 JFC851863 JOY851863 JYU851863 KIQ851863 KSM851863 LCI851863 LME851863 LWA851863 MFW851863 MPS851863 MZO851863 NJK851863 NTG851863 ODC851863 OMY851863 OWU851863 PGQ851863 PQM851863 QAI851863 QKE851863 QUA851863 RDW851863 RNS851863 RXO851863 SHK851863 SRG851863 TBC851863 TKY851863 TUU851863 UEQ851863 UOM851863 UYI851863 VIE851863 VSA851863 WBW851863 WLS851863 WVO851863 H917399 JC917399 SY917399 ACU917399 AMQ917399 AWM917399 BGI917399 BQE917399 CAA917399 CJW917399 CTS917399 DDO917399 DNK917399 DXG917399 EHC917399 EQY917399 FAU917399 FKQ917399 FUM917399 GEI917399 GOE917399 GYA917399 HHW917399 HRS917399 IBO917399 ILK917399 IVG917399 JFC917399 JOY917399 JYU917399 KIQ917399 KSM917399 LCI917399 LME917399 LWA917399 MFW917399 MPS917399 MZO917399 NJK917399 NTG917399 ODC917399 OMY917399 OWU917399 PGQ917399 PQM917399 QAI917399 QKE917399 QUA917399 RDW917399 RNS917399 RXO917399 SHK917399 SRG917399 TBC917399 TKY917399 TUU917399 UEQ917399 UOM917399 UYI917399 VIE917399 VSA917399 WBW917399 WLS917399 WVO917399 H982935 JC982935 SY982935 ACU982935 AMQ982935 AWM982935 BGI982935 BQE982935 CAA982935 CJW982935 CTS982935 DDO982935 DNK982935 DXG982935 EHC982935 EQY982935 FAU982935 FKQ982935 FUM982935 GEI982935 GOE982935 GYA982935 HHW982935 HRS982935 IBO982935 ILK982935 IVG982935 JFC982935 JOY982935 JYU982935 KIQ982935 KSM982935 LCI982935 LME982935 LWA982935 MFW982935 MPS982935 MZO982935 NJK982935 NTG982935 ODC982935 OMY982935 OWU982935 PGQ982935 PQM982935 QAI982935 QKE982935 QUA982935 RDW982935 RNS982935 RXO982935 SHK982935 SRG982935 TBC982935 TKY982935 TUU982935 UEQ982935 UOM982935 UYI982935 VIE982935 VSA982935 WBW982935 WLS982935 WVO982935 H8:H65424 H65437:H130960 H130973:H196496 H196509:H262032 H262045:H327568 H327581:H393104 H393117:H458640 H458653:H524176 H524189:H589712 H589725:H655248 H655261:H720784 H720797:H786320 H786333:H851856 H851869:H917392 H917405:H982928 H982941:H1048576 JC8:JC65424 JC65437:JC130960 JC130973:JC196496 JC196509:JC262032 JC262045:JC327568 JC327581:JC393104 JC393117:JC458640 JC458653:JC524176 JC524189:JC589712 JC589725:JC655248 JC655261:JC720784 JC720797:JC786320 JC786333:JC851856 JC851869:JC917392 JC917405:JC982928 JC982941:JC1048576 SY8:SY65424 SY65437:SY130960 SY130973:SY196496 SY196509:SY262032 SY262045:SY327568 SY327581:SY393104 SY393117:SY458640 SY458653:SY524176 SY524189:SY589712 SY589725:SY655248 SY655261:SY720784 SY720797:SY786320 SY786333:SY851856 SY851869:SY917392 SY917405:SY982928 SY982941:SY1048576 ACU8:ACU65424 ACU65437:ACU130960 ACU130973:ACU196496 ACU196509:ACU262032 ACU262045:ACU327568 ACU327581:ACU393104 ACU393117:ACU458640 ACU458653:ACU524176 ACU524189:ACU589712 ACU589725:ACU655248 ACU655261:ACU720784 ACU720797:ACU786320 ACU786333:ACU851856 ACU851869:ACU917392 ACU917405:ACU982928 ACU982941:ACU1048576 AMQ8:AMQ65424 AMQ65437:AMQ130960 AMQ130973:AMQ196496 AMQ196509:AMQ262032 AMQ262045:AMQ327568 AMQ327581:AMQ393104 AMQ393117:AMQ458640 AMQ458653:AMQ524176 AMQ524189:AMQ589712 AMQ589725:AMQ655248 AMQ655261:AMQ720784 AMQ720797:AMQ786320 AMQ786333:AMQ851856 AMQ851869:AMQ917392 AMQ917405:AMQ982928 AMQ982941:AMQ1048576 AWM8:AWM65424 AWM65437:AWM130960 AWM130973:AWM196496 AWM196509:AWM262032 AWM262045:AWM327568 AWM327581:AWM393104 AWM393117:AWM458640 AWM458653:AWM524176 AWM524189:AWM589712 AWM589725:AWM655248 AWM655261:AWM720784 AWM720797:AWM786320 AWM786333:AWM851856 AWM851869:AWM917392 AWM917405:AWM982928 AWM982941:AWM1048576 BGI8:BGI65424 BGI65437:BGI130960 BGI130973:BGI196496 BGI196509:BGI262032 BGI262045:BGI327568 BGI327581:BGI393104 BGI393117:BGI458640 BGI458653:BGI524176 BGI524189:BGI589712 BGI589725:BGI655248 BGI655261:BGI720784 BGI720797:BGI786320 BGI786333:BGI851856 BGI851869:BGI917392 BGI917405:BGI982928 BGI982941:BGI1048576 BQE8:BQE65424 BQE65437:BQE130960 BQE130973:BQE196496 BQE196509:BQE262032 BQE262045:BQE327568 BQE327581:BQE393104 BQE393117:BQE458640 BQE458653:BQE524176 BQE524189:BQE589712 BQE589725:BQE655248 BQE655261:BQE720784 BQE720797:BQE786320 BQE786333:BQE851856 BQE851869:BQE917392 BQE917405:BQE982928 BQE982941:BQE1048576 CAA8:CAA65424 CAA65437:CAA130960 CAA130973:CAA196496 CAA196509:CAA262032 CAA262045:CAA327568 CAA327581:CAA393104 CAA393117:CAA458640 CAA458653:CAA524176 CAA524189:CAA589712 CAA589725:CAA655248 CAA655261:CAA720784 CAA720797:CAA786320 CAA786333:CAA851856 CAA851869:CAA917392 CAA917405:CAA982928 CAA982941:CAA1048576 CJW8:CJW65424 CJW65437:CJW130960 CJW130973:CJW196496 CJW196509:CJW262032 CJW262045:CJW327568 CJW327581:CJW393104 CJW393117:CJW458640 CJW458653:CJW524176 CJW524189:CJW589712 CJW589725:CJW655248 CJW655261:CJW720784 CJW720797:CJW786320 CJW786333:CJW851856 CJW851869:CJW917392 CJW917405:CJW982928 CJW982941:CJW1048576 CTS8:CTS65424 CTS65437:CTS130960 CTS130973:CTS196496 CTS196509:CTS262032 CTS262045:CTS327568 CTS327581:CTS393104 CTS393117:CTS458640 CTS458653:CTS524176 CTS524189:CTS589712 CTS589725:CTS655248 CTS655261:CTS720784 CTS720797:CTS786320 CTS786333:CTS851856 CTS851869:CTS917392 CTS917405:CTS982928 CTS982941:CTS1048576 DDO8:DDO65424 DDO65437:DDO130960 DDO130973:DDO196496 DDO196509:DDO262032 DDO262045:DDO327568 DDO327581:DDO393104 DDO393117:DDO458640 DDO458653:DDO524176 DDO524189:DDO589712 DDO589725:DDO655248 DDO655261:DDO720784 DDO720797:DDO786320 DDO786333:DDO851856 DDO851869:DDO917392 DDO917405:DDO982928 DDO982941:DDO1048576 DNK8:DNK65424 DNK65437:DNK130960 DNK130973:DNK196496 DNK196509:DNK262032 DNK262045:DNK327568 DNK327581:DNK393104 DNK393117:DNK458640 DNK458653:DNK524176 DNK524189:DNK589712 DNK589725:DNK655248 DNK655261:DNK720784 DNK720797:DNK786320 DNK786333:DNK851856 DNK851869:DNK917392 DNK917405:DNK982928 DNK982941:DNK1048576 DXG8:DXG65424 DXG65437:DXG130960 DXG130973:DXG196496 DXG196509:DXG262032 DXG262045:DXG327568 DXG327581:DXG393104 DXG393117:DXG458640 DXG458653:DXG524176 DXG524189:DXG589712 DXG589725:DXG655248 DXG655261:DXG720784 DXG720797:DXG786320 DXG786333:DXG851856 DXG851869:DXG917392 DXG917405:DXG982928 DXG982941:DXG1048576 EHC8:EHC65424 EHC65437:EHC130960 EHC130973:EHC196496 EHC196509:EHC262032 EHC262045:EHC327568 EHC327581:EHC393104 EHC393117:EHC458640 EHC458653:EHC524176 EHC524189:EHC589712 EHC589725:EHC655248 EHC655261:EHC720784 EHC720797:EHC786320 EHC786333:EHC851856 EHC851869:EHC917392 EHC917405:EHC982928 EHC982941:EHC1048576 EQY8:EQY65424 EQY65437:EQY130960 EQY130973:EQY196496 EQY196509:EQY262032 EQY262045:EQY327568 EQY327581:EQY393104 EQY393117:EQY458640 EQY458653:EQY524176 EQY524189:EQY589712 EQY589725:EQY655248 EQY655261:EQY720784 EQY720797:EQY786320 EQY786333:EQY851856 EQY851869:EQY917392 EQY917405:EQY982928 EQY982941:EQY1048576 FAU8:FAU65424 FAU65437:FAU130960 FAU130973:FAU196496 FAU196509:FAU262032 FAU262045:FAU327568 FAU327581:FAU393104 FAU393117:FAU458640 FAU458653:FAU524176 FAU524189:FAU589712 FAU589725:FAU655248 FAU655261:FAU720784 FAU720797:FAU786320 FAU786333:FAU851856 FAU851869:FAU917392 FAU917405:FAU982928 FAU982941:FAU1048576 FKQ8:FKQ65424 FKQ65437:FKQ130960 FKQ130973:FKQ196496 FKQ196509:FKQ262032 FKQ262045:FKQ327568 FKQ327581:FKQ393104 FKQ393117:FKQ458640 FKQ458653:FKQ524176 FKQ524189:FKQ589712 FKQ589725:FKQ655248 FKQ655261:FKQ720784 FKQ720797:FKQ786320 FKQ786333:FKQ851856 FKQ851869:FKQ917392 FKQ917405:FKQ982928 FKQ982941:FKQ1048576 FUM8:FUM65424 FUM65437:FUM130960 FUM130973:FUM196496 FUM196509:FUM262032 FUM262045:FUM327568 FUM327581:FUM393104 FUM393117:FUM458640 FUM458653:FUM524176 FUM524189:FUM589712 FUM589725:FUM655248 FUM655261:FUM720784 FUM720797:FUM786320 FUM786333:FUM851856 FUM851869:FUM917392 FUM917405:FUM982928 FUM982941:FUM1048576 GEI8:GEI65424 GEI65437:GEI130960 GEI130973:GEI196496 GEI196509:GEI262032 GEI262045:GEI327568 GEI327581:GEI393104 GEI393117:GEI458640 GEI458653:GEI524176 GEI524189:GEI589712 GEI589725:GEI655248 GEI655261:GEI720784 GEI720797:GEI786320 GEI786333:GEI851856 GEI851869:GEI917392 GEI917405:GEI982928 GEI982941:GEI1048576 GOE8:GOE65424 GOE65437:GOE130960 GOE130973:GOE196496 GOE196509:GOE262032 GOE262045:GOE327568 GOE327581:GOE393104 GOE393117:GOE458640 GOE458653:GOE524176 GOE524189:GOE589712 GOE589725:GOE655248 GOE655261:GOE720784 GOE720797:GOE786320 GOE786333:GOE851856 GOE851869:GOE917392 GOE917405:GOE982928 GOE982941:GOE1048576 GYA8:GYA65424 GYA65437:GYA130960 GYA130973:GYA196496 GYA196509:GYA262032 GYA262045:GYA327568 GYA327581:GYA393104 GYA393117:GYA458640 GYA458653:GYA524176 GYA524189:GYA589712 GYA589725:GYA655248 GYA655261:GYA720784 GYA720797:GYA786320 GYA786333:GYA851856 GYA851869:GYA917392 GYA917405:GYA982928 GYA982941:GYA1048576 HHW8:HHW65424 HHW65437:HHW130960 HHW130973:HHW196496 HHW196509:HHW262032 HHW262045:HHW327568 HHW327581:HHW393104 HHW393117:HHW458640 HHW458653:HHW524176 HHW524189:HHW589712 HHW589725:HHW655248 HHW655261:HHW720784 HHW720797:HHW786320 HHW786333:HHW851856 HHW851869:HHW917392 HHW917405:HHW982928 HHW982941:HHW1048576 HRS8:HRS65424 HRS65437:HRS130960 HRS130973:HRS196496 HRS196509:HRS262032 HRS262045:HRS327568 HRS327581:HRS393104 HRS393117:HRS458640 HRS458653:HRS524176 HRS524189:HRS589712 HRS589725:HRS655248 HRS655261:HRS720784 HRS720797:HRS786320 HRS786333:HRS851856 HRS851869:HRS917392 HRS917405:HRS982928 HRS982941:HRS1048576 IBO8:IBO65424 IBO65437:IBO130960 IBO130973:IBO196496 IBO196509:IBO262032 IBO262045:IBO327568 IBO327581:IBO393104 IBO393117:IBO458640 IBO458653:IBO524176 IBO524189:IBO589712 IBO589725:IBO655248 IBO655261:IBO720784 IBO720797:IBO786320 IBO786333:IBO851856 IBO851869:IBO917392 IBO917405:IBO982928 IBO982941:IBO1048576 ILK8:ILK65424 ILK65437:ILK130960 ILK130973:ILK196496 ILK196509:ILK262032 ILK262045:ILK327568 ILK327581:ILK393104 ILK393117:ILK458640 ILK458653:ILK524176 ILK524189:ILK589712 ILK589725:ILK655248 ILK655261:ILK720784 ILK720797:ILK786320 ILK786333:ILK851856 ILK851869:ILK917392 ILK917405:ILK982928 ILK982941:ILK1048576 IVG8:IVG65424 IVG65437:IVG130960 IVG130973:IVG196496 IVG196509:IVG262032 IVG262045:IVG327568 IVG327581:IVG393104 IVG393117:IVG458640 IVG458653:IVG524176 IVG524189:IVG589712 IVG589725:IVG655248 IVG655261:IVG720784 IVG720797:IVG786320 IVG786333:IVG851856 IVG851869:IVG917392 IVG917405:IVG982928 IVG982941:IVG1048576 JFC8:JFC65424 JFC65437:JFC130960 JFC130973:JFC196496 JFC196509:JFC262032 JFC262045:JFC327568 JFC327581:JFC393104 JFC393117:JFC458640 JFC458653:JFC524176 JFC524189:JFC589712 JFC589725:JFC655248 JFC655261:JFC720784 JFC720797:JFC786320 JFC786333:JFC851856 JFC851869:JFC917392 JFC917405:JFC982928 JFC982941:JFC1048576 JOY8:JOY65424 JOY65437:JOY130960 JOY130973:JOY196496 JOY196509:JOY262032 JOY262045:JOY327568 JOY327581:JOY393104 JOY393117:JOY458640 JOY458653:JOY524176 JOY524189:JOY589712 JOY589725:JOY655248 JOY655261:JOY720784 JOY720797:JOY786320 JOY786333:JOY851856 JOY851869:JOY917392 JOY917405:JOY982928 JOY982941:JOY1048576 JYU8:JYU65424 JYU65437:JYU130960 JYU130973:JYU196496 JYU196509:JYU262032 JYU262045:JYU327568 JYU327581:JYU393104 JYU393117:JYU458640 JYU458653:JYU524176 JYU524189:JYU589712 JYU589725:JYU655248 JYU655261:JYU720784 JYU720797:JYU786320 JYU786333:JYU851856 JYU851869:JYU917392 JYU917405:JYU982928 JYU982941:JYU1048576 KIQ8:KIQ65424 KIQ65437:KIQ130960 KIQ130973:KIQ196496 KIQ196509:KIQ262032 KIQ262045:KIQ327568 KIQ327581:KIQ393104 KIQ393117:KIQ458640 KIQ458653:KIQ524176 KIQ524189:KIQ589712 KIQ589725:KIQ655248 KIQ655261:KIQ720784 KIQ720797:KIQ786320 KIQ786333:KIQ851856 KIQ851869:KIQ917392 KIQ917405:KIQ982928 KIQ982941:KIQ1048576 KSM8:KSM65424 KSM65437:KSM130960 KSM130973:KSM196496 KSM196509:KSM262032 KSM262045:KSM327568 KSM327581:KSM393104 KSM393117:KSM458640 KSM458653:KSM524176 KSM524189:KSM589712 KSM589725:KSM655248 KSM655261:KSM720784 KSM720797:KSM786320 KSM786333:KSM851856 KSM851869:KSM917392 KSM917405:KSM982928 KSM982941:KSM1048576 LCI8:LCI65424 LCI65437:LCI130960 LCI130973:LCI196496 LCI196509:LCI262032 LCI262045:LCI327568 LCI327581:LCI393104 LCI393117:LCI458640 LCI458653:LCI524176 LCI524189:LCI589712 LCI589725:LCI655248 LCI655261:LCI720784 LCI720797:LCI786320 LCI786333:LCI851856 LCI851869:LCI917392 LCI917405:LCI982928 LCI982941:LCI1048576 LME8:LME65424 LME65437:LME130960 LME130973:LME196496 LME196509:LME262032 LME262045:LME327568 LME327581:LME393104 LME393117:LME458640 LME458653:LME524176 LME524189:LME589712 LME589725:LME655248 LME655261:LME720784 LME720797:LME786320 LME786333:LME851856 LME851869:LME917392 LME917405:LME982928 LME982941:LME1048576 LWA8:LWA65424 LWA65437:LWA130960 LWA130973:LWA196496 LWA196509:LWA262032 LWA262045:LWA327568 LWA327581:LWA393104 LWA393117:LWA458640 LWA458653:LWA524176 LWA524189:LWA589712 LWA589725:LWA655248 LWA655261:LWA720784 LWA720797:LWA786320 LWA786333:LWA851856 LWA851869:LWA917392 LWA917405:LWA982928 LWA982941:LWA1048576 MFW8:MFW65424 MFW65437:MFW130960 MFW130973:MFW196496 MFW196509:MFW262032 MFW262045:MFW327568 MFW327581:MFW393104 MFW393117:MFW458640 MFW458653:MFW524176 MFW524189:MFW589712 MFW589725:MFW655248 MFW655261:MFW720784 MFW720797:MFW786320 MFW786333:MFW851856 MFW851869:MFW917392 MFW917405:MFW982928 MFW982941:MFW1048576 MPS8:MPS65424 MPS65437:MPS130960 MPS130973:MPS196496 MPS196509:MPS262032 MPS262045:MPS327568 MPS327581:MPS393104 MPS393117:MPS458640 MPS458653:MPS524176 MPS524189:MPS589712 MPS589725:MPS655248 MPS655261:MPS720784 MPS720797:MPS786320 MPS786333:MPS851856 MPS851869:MPS917392 MPS917405:MPS982928 MPS982941:MPS1048576 MZO8:MZO65424 MZO65437:MZO130960 MZO130973:MZO196496 MZO196509:MZO262032 MZO262045:MZO327568 MZO327581:MZO393104 MZO393117:MZO458640 MZO458653:MZO524176 MZO524189:MZO589712 MZO589725:MZO655248 MZO655261:MZO720784 MZO720797:MZO786320 MZO786333:MZO851856 MZO851869:MZO917392 MZO917405:MZO982928 MZO982941:MZO1048576 NJK8:NJK65424 NJK65437:NJK130960 NJK130973:NJK196496 NJK196509:NJK262032 NJK262045:NJK327568 NJK327581:NJK393104 NJK393117:NJK458640 NJK458653:NJK524176 NJK524189:NJK589712 NJK589725:NJK655248 NJK655261:NJK720784 NJK720797:NJK786320 NJK786333:NJK851856 NJK851869:NJK917392 NJK917405:NJK982928 NJK982941:NJK1048576 NTG8:NTG65424 NTG65437:NTG130960 NTG130973:NTG196496 NTG196509:NTG262032 NTG262045:NTG327568 NTG327581:NTG393104 NTG393117:NTG458640 NTG458653:NTG524176 NTG524189:NTG589712 NTG589725:NTG655248 NTG655261:NTG720784 NTG720797:NTG786320 NTG786333:NTG851856 NTG851869:NTG917392 NTG917405:NTG982928 NTG982941:NTG1048576 ODC8:ODC65424 ODC65437:ODC130960 ODC130973:ODC196496 ODC196509:ODC262032 ODC262045:ODC327568 ODC327581:ODC393104 ODC393117:ODC458640 ODC458653:ODC524176 ODC524189:ODC589712 ODC589725:ODC655248 ODC655261:ODC720784 ODC720797:ODC786320 ODC786333:ODC851856 ODC851869:ODC917392 ODC917405:ODC982928 ODC982941:ODC1048576 OMY8:OMY65424 OMY65437:OMY130960 OMY130973:OMY196496 OMY196509:OMY262032 OMY262045:OMY327568 OMY327581:OMY393104 OMY393117:OMY458640 OMY458653:OMY524176 OMY524189:OMY589712 OMY589725:OMY655248 OMY655261:OMY720784 OMY720797:OMY786320 OMY786333:OMY851856 OMY851869:OMY917392 OMY917405:OMY982928 OMY982941:OMY1048576 OWU8:OWU65424 OWU65437:OWU130960 OWU130973:OWU196496 OWU196509:OWU262032 OWU262045:OWU327568 OWU327581:OWU393104 OWU393117:OWU458640 OWU458653:OWU524176 OWU524189:OWU589712 OWU589725:OWU655248 OWU655261:OWU720784 OWU720797:OWU786320 OWU786333:OWU851856 OWU851869:OWU917392 OWU917405:OWU982928 OWU982941:OWU1048576 PGQ8:PGQ65424 PGQ65437:PGQ130960 PGQ130973:PGQ196496 PGQ196509:PGQ262032 PGQ262045:PGQ327568 PGQ327581:PGQ393104 PGQ393117:PGQ458640 PGQ458653:PGQ524176 PGQ524189:PGQ589712 PGQ589725:PGQ655248 PGQ655261:PGQ720784 PGQ720797:PGQ786320 PGQ786333:PGQ851856 PGQ851869:PGQ917392 PGQ917405:PGQ982928 PGQ982941:PGQ1048576 PQM8:PQM65424 PQM65437:PQM130960 PQM130973:PQM196496 PQM196509:PQM262032 PQM262045:PQM327568 PQM327581:PQM393104 PQM393117:PQM458640 PQM458653:PQM524176 PQM524189:PQM589712 PQM589725:PQM655248 PQM655261:PQM720784 PQM720797:PQM786320 PQM786333:PQM851856 PQM851869:PQM917392 PQM917405:PQM982928 PQM982941:PQM1048576 QAI8:QAI65424 QAI65437:QAI130960 QAI130973:QAI196496 QAI196509:QAI262032 QAI262045:QAI327568 QAI327581:QAI393104 QAI393117:QAI458640 QAI458653:QAI524176 QAI524189:QAI589712 QAI589725:QAI655248 QAI655261:QAI720784 QAI720797:QAI786320 QAI786333:QAI851856 QAI851869:QAI917392 QAI917405:QAI982928 QAI982941:QAI1048576 QKE8:QKE65424 QKE65437:QKE130960 QKE130973:QKE196496 QKE196509:QKE262032 QKE262045:QKE327568 QKE327581:QKE393104 QKE393117:QKE458640 QKE458653:QKE524176 QKE524189:QKE589712 QKE589725:QKE655248 QKE655261:QKE720784 QKE720797:QKE786320 QKE786333:QKE851856 QKE851869:QKE917392 QKE917405:QKE982928 QKE982941:QKE1048576 QUA8:QUA65424 QUA65437:QUA130960 QUA130973:QUA196496 QUA196509:QUA262032 QUA262045:QUA327568 QUA327581:QUA393104 QUA393117:QUA458640 QUA458653:QUA524176 QUA524189:QUA589712 QUA589725:QUA655248 QUA655261:QUA720784 QUA720797:QUA786320 QUA786333:QUA851856 QUA851869:QUA917392 QUA917405:QUA982928 QUA982941:QUA1048576 RDW8:RDW65424 RDW65437:RDW130960 RDW130973:RDW196496 RDW196509:RDW262032 RDW262045:RDW327568 RDW327581:RDW393104 RDW393117:RDW458640 RDW458653:RDW524176 RDW524189:RDW589712 RDW589725:RDW655248 RDW655261:RDW720784 RDW720797:RDW786320 RDW786333:RDW851856 RDW851869:RDW917392 RDW917405:RDW982928 RDW982941:RDW1048576 RNS8:RNS65424 RNS65437:RNS130960 RNS130973:RNS196496 RNS196509:RNS262032 RNS262045:RNS327568 RNS327581:RNS393104 RNS393117:RNS458640 RNS458653:RNS524176 RNS524189:RNS589712 RNS589725:RNS655248 RNS655261:RNS720784 RNS720797:RNS786320 RNS786333:RNS851856 RNS851869:RNS917392 RNS917405:RNS982928 RNS982941:RNS1048576 RXO8:RXO65424 RXO65437:RXO130960 RXO130973:RXO196496 RXO196509:RXO262032 RXO262045:RXO327568 RXO327581:RXO393104 RXO393117:RXO458640 RXO458653:RXO524176 RXO524189:RXO589712 RXO589725:RXO655248 RXO655261:RXO720784 RXO720797:RXO786320 RXO786333:RXO851856 RXO851869:RXO917392 RXO917405:RXO982928 RXO982941:RXO1048576 SHK8:SHK65424 SHK65437:SHK130960 SHK130973:SHK196496 SHK196509:SHK262032 SHK262045:SHK327568 SHK327581:SHK393104 SHK393117:SHK458640 SHK458653:SHK524176 SHK524189:SHK589712 SHK589725:SHK655248 SHK655261:SHK720784 SHK720797:SHK786320 SHK786333:SHK851856 SHK851869:SHK917392 SHK917405:SHK982928 SHK982941:SHK1048576 SRG8:SRG65424 SRG65437:SRG130960 SRG130973:SRG196496 SRG196509:SRG262032 SRG262045:SRG327568 SRG327581:SRG393104 SRG393117:SRG458640 SRG458653:SRG524176 SRG524189:SRG589712 SRG589725:SRG655248 SRG655261:SRG720784 SRG720797:SRG786320 SRG786333:SRG851856 SRG851869:SRG917392 SRG917405:SRG982928 SRG982941:SRG1048576 TBC8:TBC65424 TBC65437:TBC130960 TBC130973:TBC196496 TBC196509:TBC262032 TBC262045:TBC327568 TBC327581:TBC393104 TBC393117:TBC458640 TBC458653:TBC524176 TBC524189:TBC589712 TBC589725:TBC655248 TBC655261:TBC720784 TBC720797:TBC786320 TBC786333:TBC851856 TBC851869:TBC917392 TBC917405:TBC982928 TBC982941:TBC1048576 TKY8:TKY65424 TKY65437:TKY130960 TKY130973:TKY196496 TKY196509:TKY262032 TKY262045:TKY327568 TKY327581:TKY393104 TKY393117:TKY458640 TKY458653:TKY524176 TKY524189:TKY589712 TKY589725:TKY655248 TKY655261:TKY720784 TKY720797:TKY786320 TKY786333:TKY851856 TKY851869:TKY917392 TKY917405:TKY982928 TKY982941:TKY1048576 TUU8:TUU65424 TUU65437:TUU130960 TUU130973:TUU196496 TUU196509:TUU262032 TUU262045:TUU327568 TUU327581:TUU393104 TUU393117:TUU458640 TUU458653:TUU524176 TUU524189:TUU589712 TUU589725:TUU655248 TUU655261:TUU720784 TUU720797:TUU786320 TUU786333:TUU851856 TUU851869:TUU917392 TUU917405:TUU982928 TUU982941:TUU1048576 UEQ8:UEQ65424 UEQ65437:UEQ130960 UEQ130973:UEQ196496 UEQ196509:UEQ262032 UEQ262045:UEQ327568 UEQ327581:UEQ393104 UEQ393117:UEQ458640 UEQ458653:UEQ524176 UEQ524189:UEQ589712 UEQ589725:UEQ655248 UEQ655261:UEQ720784 UEQ720797:UEQ786320 UEQ786333:UEQ851856 UEQ851869:UEQ917392 UEQ917405:UEQ982928 UEQ982941:UEQ1048576 UOM8:UOM65424 UOM65437:UOM130960 UOM130973:UOM196496 UOM196509:UOM262032 UOM262045:UOM327568 UOM327581:UOM393104 UOM393117:UOM458640 UOM458653:UOM524176 UOM524189:UOM589712 UOM589725:UOM655248 UOM655261:UOM720784 UOM720797:UOM786320 UOM786333:UOM851856 UOM851869:UOM917392 UOM917405:UOM982928 UOM982941:UOM1048576 UYI8:UYI65424 UYI65437:UYI130960 UYI130973:UYI196496 UYI196509:UYI262032 UYI262045:UYI327568 UYI327581:UYI393104 UYI393117:UYI458640 UYI458653:UYI524176 UYI524189:UYI589712 UYI589725:UYI655248 UYI655261:UYI720784 UYI720797:UYI786320 UYI786333:UYI851856 UYI851869:UYI917392 UYI917405:UYI982928 UYI982941:UYI1048576 VIE8:VIE65424 VIE65437:VIE130960 VIE130973:VIE196496 VIE196509:VIE262032 VIE262045:VIE327568 VIE327581:VIE393104 VIE393117:VIE458640 VIE458653:VIE524176 VIE524189:VIE589712 VIE589725:VIE655248 VIE655261:VIE720784 VIE720797:VIE786320 VIE786333:VIE851856 VIE851869:VIE917392 VIE917405:VIE982928 VIE982941:VIE1048576 VSA8:VSA65424 VSA65437:VSA130960 VSA130973:VSA196496 VSA196509:VSA262032 VSA262045:VSA327568 VSA327581:VSA393104 VSA393117:VSA458640 VSA458653:VSA524176 VSA524189:VSA589712 VSA589725:VSA655248 VSA655261:VSA720784 VSA720797:VSA786320 VSA786333:VSA851856 VSA851869:VSA917392 VSA917405:VSA982928 VSA982941:VSA1048576 WBW8:WBW65424 WBW65437:WBW130960 WBW130973:WBW196496 WBW196509:WBW262032 WBW262045:WBW327568 WBW327581:WBW393104 WBW393117:WBW458640 WBW458653:WBW524176 WBW524189:WBW589712 WBW589725:WBW655248 WBW655261:WBW720784 WBW720797:WBW786320 WBW786333:WBW851856 WBW851869:WBW917392 WBW917405:WBW982928 WBW982941:WBW1048576 WLS8:WLS65424 WLS65437:WLS130960 WLS130973:WLS196496 WLS196509:WLS262032 WLS262045:WLS327568 WLS327581:WLS393104 WLS393117:WLS458640 WLS458653:WLS524176 WLS524189:WLS589712 WLS589725:WLS655248 WLS655261:WLS720784 WLS720797:WLS786320 WLS786333:WLS851856 WLS851869:WLS917392 WLS917405:WLS982928 WLS982941:WLS1048576 WVO8:WVO65424 WVO65437:WVO130960 WVO130973:WVO196496 WVO196509:WVO262032 WVO262045:WVO327568 WVO327581:WVO393104 WVO393117:WVO458640 WVO458653:WVO524176 WVO524189:WVO589712 WVO589725:WVO655248 WVO655261:WVO720784 WVO720797:WVO786320 WVO786333:WVO851856 WVO851869:WVO917392 WVO917405:WVO982928 WVO982941:WVO1048576"/>
    <dataValidation type="list" allowBlank="1" showInputMessage="1" showErrorMessage="1" sqref="I1 JD1 SZ1 ACV1 AMR1 AWN1 BGJ1 BQF1 CAB1 CJX1 CTT1 DDP1 DNL1 DXH1 EHD1 EQZ1 FAV1 FKR1 FUN1 GEJ1 GOF1 GYB1 HHX1 HRT1 IBP1 ILL1 IVH1 JFD1 JOZ1 JYV1 KIR1 KSN1 LCJ1 LMF1 LWB1 MFX1 MPT1 MZP1 NJL1 NTH1 ODD1 OMZ1 OWV1 PGR1 PQN1 QAJ1 QKF1 QUB1 RDX1 RNT1 RXP1 SHL1 SRH1 TBD1 TKZ1 TUV1 UER1 UON1 UYJ1 VIF1 VSB1 WBX1 WLT1 WVP1 I8:I65424 I65431:I130960 I130967:I196496 I196503:I262032 I262039:I327568 I327575:I393104 I393111:I458640 I458647:I524176 I524183:I589712 I589719:I655248 I655255:I720784 I720791:I786320 I786327:I851856 I851863:I917392 I917399:I982928 I982935:I1048576 JD8:JD65424 JD65431:JD130960 JD130967:JD196496 JD196503:JD262032 JD262039:JD327568 JD327575:JD393104 JD393111:JD458640 JD458647:JD524176 JD524183:JD589712 JD589719:JD655248 JD655255:JD720784 JD720791:JD786320 JD786327:JD851856 JD851863:JD917392 JD917399:JD982928 JD982935:JD1048576 SZ8:SZ65424 SZ65431:SZ130960 SZ130967:SZ196496 SZ196503:SZ262032 SZ262039:SZ327568 SZ327575:SZ393104 SZ393111:SZ458640 SZ458647:SZ524176 SZ524183:SZ589712 SZ589719:SZ655248 SZ655255:SZ720784 SZ720791:SZ786320 SZ786327:SZ851856 SZ851863:SZ917392 SZ917399:SZ982928 SZ982935:SZ1048576 ACV8:ACV65424 ACV65431:ACV130960 ACV130967:ACV196496 ACV196503:ACV262032 ACV262039:ACV327568 ACV327575:ACV393104 ACV393111:ACV458640 ACV458647:ACV524176 ACV524183:ACV589712 ACV589719:ACV655248 ACV655255:ACV720784 ACV720791:ACV786320 ACV786327:ACV851856 ACV851863:ACV917392 ACV917399:ACV982928 ACV982935:ACV1048576 AMR8:AMR65424 AMR65431:AMR130960 AMR130967:AMR196496 AMR196503:AMR262032 AMR262039:AMR327568 AMR327575:AMR393104 AMR393111:AMR458640 AMR458647:AMR524176 AMR524183:AMR589712 AMR589719:AMR655248 AMR655255:AMR720784 AMR720791:AMR786320 AMR786327:AMR851856 AMR851863:AMR917392 AMR917399:AMR982928 AMR982935:AMR1048576 AWN8:AWN65424 AWN65431:AWN130960 AWN130967:AWN196496 AWN196503:AWN262032 AWN262039:AWN327568 AWN327575:AWN393104 AWN393111:AWN458640 AWN458647:AWN524176 AWN524183:AWN589712 AWN589719:AWN655248 AWN655255:AWN720784 AWN720791:AWN786320 AWN786327:AWN851856 AWN851863:AWN917392 AWN917399:AWN982928 AWN982935:AWN1048576 BGJ8:BGJ65424 BGJ65431:BGJ130960 BGJ130967:BGJ196496 BGJ196503:BGJ262032 BGJ262039:BGJ327568 BGJ327575:BGJ393104 BGJ393111:BGJ458640 BGJ458647:BGJ524176 BGJ524183:BGJ589712 BGJ589719:BGJ655248 BGJ655255:BGJ720784 BGJ720791:BGJ786320 BGJ786327:BGJ851856 BGJ851863:BGJ917392 BGJ917399:BGJ982928 BGJ982935:BGJ1048576 BQF8:BQF65424 BQF65431:BQF130960 BQF130967:BQF196496 BQF196503:BQF262032 BQF262039:BQF327568 BQF327575:BQF393104 BQF393111:BQF458640 BQF458647:BQF524176 BQF524183:BQF589712 BQF589719:BQF655248 BQF655255:BQF720784 BQF720791:BQF786320 BQF786327:BQF851856 BQF851863:BQF917392 BQF917399:BQF982928 BQF982935:BQF1048576 CAB8:CAB65424 CAB65431:CAB130960 CAB130967:CAB196496 CAB196503:CAB262032 CAB262039:CAB327568 CAB327575:CAB393104 CAB393111:CAB458640 CAB458647:CAB524176 CAB524183:CAB589712 CAB589719:CAB655248 CAB655255:CAB720784 CAB720791:CAB786320 CAB786327:CAB851856 CAB851863:CAB917392 CAB917399:CAB982928 CAB982935:CAB1048576 CJX8:CJX65424 CJX65431:CJX130960 CJX130967:CJX196496 CJX196503:CJX262032 CJX262039:CJX327568 CJX327575:CJX393104 CJX393111:CJX458640 CJX458647:CJX524176 CJX524183:CJX589712 CJX589719:CJX655248 CJX655255:CJX720784 CJX720791:CJX786320 CJX786327:CJX851856 CJX851863:CJX917392 CJX917399:CJX982928 CJX982935:CJX1048576 CTT8:CTT65424 CTT65431:CTT130960 CTT130967:CTT196496 CTT196503:CTT262032 CTT262039:CTT327568 CTT327575:CTT393104 CTT393111:CTT458640 CTT458647:CTT524176 CTT524183:CTT589712 CTT589719:CTT655248 CTT655255:CTT720784 CTT720791:CTT786320 CTT786327:CTT851856 CTT851863:CTT917392 CTT917399:CTT982928 CTT982935:CTT1048576 DDP8:DDP65424 DDP65431:DDP130960 DDP130967:DDP196496 DDP196503:DDP262032 DDP262039:DDP327568 DDP327575:DDP393104 DDP393111:DDP458640 DDP458647:DDP524176 DDP524183:DDP589712 DDP589719:DDP655248 DDP655255:DDP720784 DDP720791:DDP786320 DDP786327:DDP851856 DDP851863:DDP917392 DDP917399:DDP982928 DDP982935:DDP1048576 DNL8:DNL65424 DNL65431:DNL130960 DNL130967:DNL196496 DNL196503:DNL262032 DNL262039:DNL327568 DNL327575:DNL393104 DNL393111:DNL458640 DNL458647:DNL524176 DNL524183:DNL589712 DNL589719:DNL655248 DNL655255:DNL720784 DNL720791:DNL786320 DNL786327:DNL851856 DNL851863:DNL917392 DNL917399:DNL982928 DNL982935:DNL1048576 DXH8:DXH65424 DXH65431:DXH130960 DXH130967:DXH196496 DXH196503:DXH262032 DXH262039:DXH327568 DXH327575:DXH393104 DXH393111:DXH458640 DXH458647:DXH524176 DXH524183:DXH589712 DXH589719:DXH655248 DXH655255:DXH720784 DXH720791:DXH786320 DXH786327:DXH851856 DXH851863:DXH917392 DXH917399:DXH982928 DXH982935:DXH1048576 EHD8:EHD65424 EHD65431:EHD130960 EHD130967:EHD196496 EHD196503:EHD262032 EHD262039:EHD327568 EHD327575:EHD393104 EHD393111:EHD458640 EHD458647:EHD524176 EHD524183:EHD589712 EHD589719:EHD655248 EHD655255:EHD720784 EHD720791:EHD786320 EHD786327:EHD851856 EHD851863:EHD917392 EHD917399:EHD982928 EHD982935:EHD1048576 EQZ8:EQZ65424 EQZ65431:EQZ130960 EQZ130967:EQZ196496 EQZ196503:EQZ262032 EQZ262039:EQZ327568 EQZ327575:EQZ393104 EQZ393111:EQZ458640 EQZ458647:EQZ524176 EQZ524183:EQZ589712 EQZ589719:EQZ655248 EQZ655255:EQZ720784 EQZ720791:EQZ786320 EQZ786327:EQZ851856 EQZ851863:EQZ917392 EQZ917399:EQZ982928 EQZ982935:EQZ1048576 FAV8:FAV65424 FAV65431:FAV130960 FAV130967:FAV196496 FAV196503:FAV262032 FAV262039:FAV327568 FAV327575:FAV393104 FAV393111:FAV458640 FAV458647:FAV524176 FAV524183:FAV589712 FAV589719:FAV655248 FAV655255:FAV720784 FAV720791:FAV786320 FAV786327:FAV851856 FAV851863:FAV917392 FAV917399:FAV982928 FAV982935:FAV1048576 FKR8:FKR65424 FKR65431:FKR130960 FKR130967:FKR196496 FKR196503:FKR262032 FKR262039:FKR327568 FKR327575:FKR393104 FKR393111:FKR458640 FKR458647:FKR524176 FKR524183:FKR589712 FKR589719:FKR655248 FKR655255:FKR720784 FKR720791:FKR786320 FKR786327:FKR851856 FKR851863:FKR917392 FKR917399:FKR982928 FKR982935:FKR1048576 FUN8:FUN65424 FUN65431:FUN130960 FUN130967:FUN196496 FUN196503:FUN262032 FUN262039:FUN327568 FUN327575:FUN393104 FUN393111:FUN458640 FUN458647:FUN524176 FUN524183:FUN589712 FUN589719:FUN655248 FUN655255:FUN720784 FUN720791:FUN786320 FUN786327:FUN851856 FUN851863:FUN917392 FUN917399:FUN982928 FUN982935:FUN1048576 GEJ8:GEJ65424 GEJ65431:GEJ130960 GEJ130967:GEJ196496 GEJ196503:GEJ262032 GEJ262039:GEJ327568 GEJ327575:GEJ393104 GEJ393111:GEJ458640 GEJ458647:GEJ524176 GEJ524183:GEJ589712 GEJ589719:GEJ655248 GEJ655255:GEJ720784 GEJ720791:GEJ786320 GEJ786327:GEJ851856 GEJ851863:GEJ917392 GEJ917399:GEJ982928 GEJ982935:GEJ1048576 GOF8:GOF65424 GOF65431:GOF130960 GOF130967:GOF196496 GOF196503:GOF262032 GOF262039:GOF327568 GOF327575:GOF393104 GOF393111:GOF458640 GOF458647:GOF524176 GOF524183:GOF589712 GOF589719:GOF655248 GOF655255:GOF720784 GOF720791:GOF786320 GOF786327:GOF851856 GOF851863:GOF917392 GOF917399:GOF982928 GOF982935:GOF1048576 GYB8:GYB65424 GYB65431:GYB130960 GYB130967:GYB196496 GYB196503:GYB262032 GYB262039:GYB327568 GYB327575:GYB393104 GYB393111:GYB458640 GYB458647:GYB524176 GYB524183:GYB589712 GYB589719:GYB655248 GYB655255:GYB720784 GYB720791:GYB786320 GYB786327:GYB851856 GYB851863:GYB917392 GYB917399:GYB982928 GYB982935:GYB1048576 HHX8:HHX65424 HHX65431:HHX130960 HHX130967:HHX196496 HHX196503:HHX262032 HHX262039:HHX327568 HHX327575:HHX393104 HHX393111:HHX458640 HHX458647:HHX524176 HHX524183:HHX589712 HHX589719:HHX655248 HHX655255:HHX720784 HHX720791:HHX786320 HHX786327:HHX851856 HHX851863:HHX917392 HHX917399:HHX982928 HHX982935:HHX1048576 HRT8:HRT65424 HRT65431:HRT130960 HRT130967:HRT196496 HRT196503:HRT262032 HRT262039:HRT327568 HRT327575:HRT393104 HRT393111:HRT458640 HRT458647:HRT524176 HRT524183:HRT589712 HRT589719:HRT655248 HRT655255:HRT720784 HRT720791:HRT786320 HRT786327:HRT851856 HRT851863:HRT917392 HRT917399:HRT982928 HRT982935:HRT1048576 IBP8:IBP65424 IBP65431:IBP130960 IBP130967:IBP196496 IBP196503:IBP262032 IBP262039:IBP327568 IBP327575:IBP393104 IBP393111:IBP458640 IBP458647:IBP524176 IBP524183:IBP589712 IBP589719:IBP655248 IBP655255:IBP720784 IBP720791:IBP786320 IBP786327:IBP851856 IBP851863:IBP917392 IBP917399:IBP982928 IBP982935:IBP1048576 ILL8:ILL65424 ILL65431:ILL130960 ILL130967:ILL196496 ILL196503:ILL262032 ILL262039:ILL327568 ILL327575:ILL393104 ILL393111:ILL458640 ILL458647:ILL524176 ILL524183:ILL589712 ILL589719:ILL655248 ILL655255:ILL720784 ILL720791:ILL786320 ILL786327:ILL851856 ILL851863:ILL917392 ILL917399:ILL982928 ILL982935:ILL1048576 IVH8:IVH65424 IVH65431:IVH130960 IVH130967:IVH196496 IVH196503:IVH262032 IVH262039:IVH327568 IVH327575:IVH393104 IVH393111:IVH458640 IVH458647:IVH524176 IVH524183:IVH589712 IVH589719:IVH655248 IVH655255:IVH720784 IVH720791:IVH786320 IVH786327:IVH851856 IVH851863:IVH917392 IVH917399:IVH982928 IVH982935:IVH1048576 JFD8:JFD65424 JFD65431:JFD130960 JFD130967:JFD196496 JFD196503:JFD262032 JFD262039:JFD327568 JFD327575:JFD393104 JFD393111:JFD458640 JFD458647:JFD524176 JFD524183:JFD589712 JFD589719:JFD655248 JFD655255:JFD720784 JFD720791:JFD786320 JFD786327:JFD851856 JFD851863:JFD917392 JFD917399:JFD982928 JFD982935:JFD1048576 JOZ8:JOZ65424 JOZ65431:JOZ130960 JOZ130967:JOZ196496 JOZ196503:JOZ262032 JOZ262039:JOZ327568 JOZ327575:JOZ393104 JOZ393111:JOZ458640 JOZ458647:JOZ524176 JOZ524183:JOZ589712 JOZ589719:JOZ655248 JOZ655255:JOZ720784 JOZ720791:JOZ786320 JOZ786327:JOZ851856 JOZ851863:JOZ917392 JOZ917399:JOZ982928 JOZ982935:JOZ1048576 JYV8:JYV65424 JYV65431:JYV130960 JYV130967:JYV196496 JYV196503:JYV262032 JYV262039:JYV327568 JYV327575:JYV393104 JYV393111:JYV458640 JYV458647:JYV524176 JYV524183:JYV589712 JYV589719:JYV655248 JYV655255:JYV720784 JYV720791:JYV786320 JYV786327:JYV851856 JYV851863:JYV917392 JYV917399:JYV982928 JYV982935:JYV1048576 KIR8:KIR65424 KIR65431:KIR130960 KIR130967:KIR196496 KIR196503:KIR262032 KIR262039:KIR327568 KIR327575:KIR393104 KIR393111:KIR458640 KIR458647:KIR524176 KIR524183:KIR589712 KIR589719:KIR655248 KIR655255:KIR720784 KIR720791:KIR786320 KIR786327:KIR851856 KIR851863:KIR917392 KIR917399:KIR982928 KIR982935:KIR1048576 KSN8:KSN65424 KSN65431:KSN130960 KSN130967:KSN196496 KSN196503:KSN262032 KSN262039:KSN327568 KSN327575:KSN393104 KSN393111:KSN458640 KSN458647:KSN524176 KSN524183:KSN589712 KSN589719:KSN655248 KSN655255:KSN720784 KSN720791:KSN786320 KSN786327:KSN851856 KSN851863:KSN917392 KSN917399:KSN982928 KSN982935:KSN1048576 LCJ8:LCJ65424 LCJ65431:LCJ130960 LCJ130967:LCJ196496 LCJ196503:LCJ262032 LCJ262039:LCJ327568 LCJ327575:LCJ393104 LCJ393111:LCJ458640 LCJ458647:LCJ524176 LCJ524183:LCJ589712 LCJ589719:LCJ655248 LCJ655255:LCJ720784 LCJ720791:LCJ786320 LCJ786327:LCJ851856 LCJ851863:LCJ917392 LCJ917399:LCJ982928 LCJ982935:LCJ1048576 LMF8:LMF65424 LMF65431:LMF130960 LMF130967:LMF196496 LMF196503:LMF262032 LMF262039:LMF327568 LMF327575:LMF393104 LMF393111:LMF458640 LMF458647:LMF524176 LMF524183:LMF589712 LMF589719:LMF655248 LMF655255:LMF720784 LMF720791:LMF786320 LMF786327:LMF851856 LMF851863:LMF917392 LMF917399:LMF982928 LMF982935:LMF1048576 LWB8:LWB65424 LWB65431:LWB130960 LWB130967:LWB196496 LWB196503:LWB262032 LWB262039:LWB327568 LWB327575:LWB393104 LWB393111:LWB458640 LWB458647:LWB524176 LWB524183:LWB589712 LWB589719:LWB655248 LWB655255:LWB720784 LWB720791:LWB786320 LWB786327:LWB851856 LWB851863:LWB917392 LWB917399:LWB982928 LWB982935:LWB1048576 MFX8:MFX65424 MFX65431:MFX130960 MFX130967:MFX196496 MFX196503:MFX262032 MFX262039:MFX327568 MFX327575:MFX393104 MFX393111:MFX458640 MFX458647:MFX524176 MFX524183:MFX589712 MFX589719:MFX655248 MFX655255:MFX720784 MFX720791:MFX786320 MFX786327:MFX851856 MFX851863:MFX917392 MFX917399:MFX982928 MFX982935:MFX1048576 MPT8:MPT65424 MPT65431:MPT130960 MPT130967:MPT196496 MPT196503:MPT262032 MPT262039:MPT327568 MPT327575:MPT393104 MPT393111:MPT458640 MPT458647:MPT524176 MPT524183:MPT589712 MPT589719:MPT655248 MPT655255:MPT720784 MPT720791:MPT786320 MPT786327:MPT851856 MPT851863:MPT917392 MPT917399:MPT982928 MPT982935:MPT1048576 MZP8:MZP65424 MZP65431:MZP130960 MZP130967:MZP196496 MZP196503:MZP262032 MZP262039:MZP327568 MZP327575:MZP393104 MZP393111:MZP458640 MZP458647:MZP524176 MZP524183:MZP589712 MZP589719:MZP655248 MZP655255:MZP720784 MZP720791:MZP786320 MZP786327:MZP851856 MZP851863:MZP917392 MZP917399:MZP982928 MZP982935:MZP1048576 NJL8:NJL65424 NJL65431:NJL130960 NJL130967:NJL196496 NJL196503:NJL262032 NJL262039:NJL327568 NJL327575:NJL393104 NJL393111:NJL458640 NJL458647:NJL524176 NJL524183:NJL589712 NJL589719:NJL655248 NJL655255:NJL720784 NJL720791:NJL786320 NJL786327:NJL851856 NJL851863:NJL917392 NJL917399:NJL982928 NJL982935:NJL1048576 NTH8:NTH65424 NTH65431:NTH130960 NTH130967:NTH196496 NTH196503:NTH262032 NTH262039:NTH327568 NTH327575:NTH393104 NTH393111:NTH458640 NTH458647:NTH524176 NTH524183:NTH589712 NTH589719:NTH655248 NTH655255:NTH720784 NTH720791:NTH786320 NTH786327:NTH851856 NTH851863:NTH917392 NTH917399:NTH982928 NTH982935:NTH1048576 ODD8:ODD65424 ODD65431:ODD130960 ODD130967:ODD196496 ODD196503:ODD262032 ODD262039:ODD327568 ODD327575:ODD393104 ODD393111:ODD458640 ODD458647:ODD524176 ODD524183:ODD589712 ODD589719:ODD655248 ODD655255:ODD720784 ODD720791:ODD786320 ODD786327:ODD851856 ODD851863:ODD917392 ODD917399:ODD982928 ODD982935:ODD1048576 OMZ8:OMZ65424 OMZ65431:OMZ130960 OMZ130967:OMZ196496 OMZ196503:OMZ262032 OMZ262039:OMZ327568 OMZ327575:OMZ393104 OMZ393111:OMZ458640 OMZ458647:OMZ524176 OMZ524183:OMZ589712 OMZ589719:OMZ655248 OMZ655255:OMZ720784 OMZ720791:OMZ786320 OMZ786327:OMZ851856 OMZ851863:OMZ917392 OMZ917399:OMZ982928 OMZ982935:OMZ1048576 OWV8:OWV65424 OWV65431:OWV130960 OWV130967:OWV196496 OWV196503:OWV262032 OWV262039:OWV327568 OWV327575:OWV393104 OWV393111:OWV458640 OWV458647:OWV524176 OWV524183:OWV589712 OWV589719:OWV655248 OWV655255:OWV720784 OWV720791:OWV786320 OWV786327:OWV851856 OWV851863:OWV917392 OWV917399:OWV982928 OWV982935:OWV1048576 PGR8:PGR65424 PGR65431:PGR130960 PGR130967:PGR196496 PGR196503:PGR262032 PGR262039:PGR327568 PGR327575:PGR393104 PGR393111:PGR458640 PGR458647:PGR524176 PGR524183:PGR589712 PGR589719:PGR655248 PGR655255:PGR720784 PGR720791:PGR786320 PGR786327:PGR851856 PGR851863:PGR917392 PGR917399:PGR982928 PGR982935:PGR1048576 PQN8:PQN65424 PQN65431:PQN130960 PQN130967:PQN196496 PQN196503:PQN262032 PQN262039:PQN327568 PQN327575:PQN393104 PQN393111:PQN458640 PQN458647:PQN524176 PQN524183:PQN589712 PQN589719:PQN655248 PQN655255:PQN720784 PQN720791:PQN786320 PQN786327:PQN851856 PQN851863:PQN917392 PQN917399:PQN982928 PQN982935:PQN1048576 QAJ8:QAJ65424 QAJ65431:QAJ130960 QAJ130967:QAJ196496 QAJ196503:QAJ262032 QAJ262039:QAJ327568 QAJ327575:QAJ393104 QAJ393111:QAJ458640 QAJ458647:QAJ524176 QAJ524183:QAJ589712 QAJ589719:QAJ655248 QAJ655255:QAJ720784 QAJ720791:QAJ786320 QAJ786327:QAJ851856 QAJ851863:QAJ917392 QAJ917399:QAJ982928 QAJ982935:QAJ1048576 QKF8:QKF65424 QKF65431:QKF130960 QKF130967:QKF196496 QKF196503:QKF262032 QKF262039:QKF327568 QKF327575:QKF393104 QKF393111:QKF458640 QKF458647:QKF524176 QKF524183:QKF589712 QKF589719:QKF655248 QKF655255:QKF720784 QKF720791:QKF786320 QKF786327:QKF851856 QKF851863:QKF917392 QKF917399:QKF982928 QKF982935:QKF1048576 QUB8:QUB65424 QUB65431:QUB130960 QUB130967:QUB196496 QUB196503:QUB262032 QUB262039:QUB327568 QUB327575:QUB393104 QUB393111:QUB458640 QUB458647:QUB524176 QUB524183:QUB589712 QUB589719:QUB655248 QUB655255:QUB720784 QUB720791:QUB786320 QUB786327:QUB851856 QUB851863:QUB917392 QUB917399:QUB982928 QUB982935:QUB1048576 RDX8:RDX65424 RDX65431:RDX130960 RDX130967:RDX196496 RDX196503:RDX262032 RDX262039:RDX327568 RDX327575:RDX393104 RDX393111:RDX458640 RDX458647:RDX524176 RDX524183:RDX589712 RDX589719:RDX655248 RDX655255:RDX720784 RDX720791:RDX786320 RDX786327:RDX851856 RDX851863:RDX917392 RDX917399:RDX982928 RDX982935:RDX1048576 RNT8:RNT65424 RNT65431:RNT130960 RNT130967:RNT196496 RNT196503:RNT262032 RNT262039:RNT327568 RNT327575:RNT393104 RNT393111:RNT458640 RNT458647:RNT524176 RNT524183:RNT589712 RNT589719:RNT655248 RNT655255:RNT720784 RNT720791:RNT786320 RNT786327:RNT851856 RNT851863:RNT917392 RNT917399:RNT982928 RNT982935:RNT1048576 RXP8:RXP65424 RXP65431:RXP130960 RXP130967:RXP196496 RXP196503:RXP262032 RXP262039:RXP327568 RXP327575:RXP393104 RXP393111:RXP458640 RXP458647:RXP524176 RXP524183:RXP589712 RXP589719:RXP655248 RXP655255:RXP720784 RXP720791:RXP786320 RXP786327:RXP851856 RXP851863:RXP917392 RXP917399:RXP982928 RXP982935:RXP1048576 SHL8:SHL65424 SHL65431:SHL130960 SHL130967:SHL196496 SHL196503:SHL262032 SHL262039:SHL327568 SHL327575:SHL393104 SHL393111:SHL458640 SHL458647:SHL524176 SHL524183:SHL589712 SHL589719:SHL655248 SHL655255:SHL720784 SHL720791:SHL786320 SHL786327:SHL851856 SHL851863:SHL917392 SHL917399:SHL982928 SHL982935:SHL1048576 SRH8:SRH65424 SRH65431:SRH130960 SRH130967:SRH196496 SRH196503:SRH262032 SRH262039:SRH327568 SRH327575:SRH393104 SRH393111:SRH458640 SRH458647:SRH524176 SRH524183:SRH589712 SRH589719:SRH655248 SRH655255:SRH720784 SRH720791:SRH786320 SRH786327:SRH851856 SRH851863:SRH917392 SRH917399:SRH982928 SRH982935:SRH1048576 TBD8:TBD65424 TBD65431:TBD130960 TBD130967:TBD196496 TBD196503:TBD262032 TBD262039:TBD327568 TBD327575:TBD393104 TBD393111:TBD458640 TBD458647:TBD524176 TBD524183:TBD589712 TBD589719:TBD655248 TBD655255:TBD720784 TBD720791:TBD786320 TBD786327:TBD851856 TBD851863:TBD917392 TBD917399:TBD982928 TBD982935:TBD1048576 TKZ8:TKZ65424 TKZ65431:TKZ130960 TKZ130967:TKZ196496 TKZ196503:TKZ262032 TKZ262039:TKZ327568 TKZ327575:TKZ393104 TKZ393111:TKZ458640 TKZ458647:TKZ524176 TKZ524183:TKZ589712 TKZ589719:TKZ655248 TKZ655255:TKZ720784 TKZ720791:TKZ786320 TKZ786327:TKZ851856 TKZ851863:TKZ917392 TKZ917399:TKZ982928 TKZ982935:TKZ1048576 TUV8:TUV65424 TUV65431:TUV130960 TUV130967:TUV196496 TUV196503:TUV262032 TUV262039:TUV327568 TUV327575:TUV393104 TUV393111:TUV458640 TUV458647:TUV524176 TUV524183:TUV589712 TUV589719:TUV655248 TUV655255:TUV720784 TUV720791:TUV786320 TUV786327:TUV851856 TUV851863:TUV917392 TUV917399:TUV982928 TUV982935:TUV1048576 UER8:UER65424 UER65431:UER130960 UER130967:UER196496 UER196503:UER262032 UER262039:UER327568 UER327575:UER393104 UER393111:UER458640 UER458647:UER524176 UER524183:UER589712 UER589719:UER655248 UER655255:UER720784 UER720791:UER786320 UER786327:UER851856 UER851863:UER917392 UER917399:UER982928 UER982935:UER1048576 UON8:UON65424 UON65431:UON130960 UON130967:UON196496 UON196503:UON262032 UON262039:UON327568 UON327575:UON393104 UON393111:UON458640 UON458647:UON524176 UON524183:UON589712 UON589719:UON655248 UON655255:UON720784 UON720791:UON786320 UON786327:UON851856 UON851863:UON917392 UON917399:UON982928 UON982935:UON1048576 UYJ8:UYJ65424 UYJ65431:UYJ130960 UYJ130967:UYJ196496 UYJ196503:UYJ262032 UYJ262039:UYJ327568 UYJ327575:UYJ393104 UYJ393111:UYJ458640 UYJ458647:UYJ524176 UYJ524183:UYJ589712 UYJ589719:UYJ655248 UYJ655255:UYJ720784 UYJ720791:UYJ786320 UYJ786327:UYJ851856 UYJ851863:UYJ917392 UYJ917399:UYJ982928 UYJ982935:UYJ1048576 VIF8:VIF65424 VIF65431:VIF130960 VIF130967:VIF196496 VIF196503:VIF262032 VIF262039:VIF327568 VIF327575:VIF393104 VIF393111:VIF458640 VIF458647:VIF524176 VIF524183:VIF589712 VIF589719:VIF655248 VIF655255:VIF720784 VIF720791:VIF786320 VIF786327:VIF851856 VIF851863:VIF917392 VIF917399:VIF982928 VIF982935:VIF1048576 VSB8:VSB65424 VSB65431:VSB130960 VSB130967:VSB196496 VSB196503:VSB262032 VSB262039:VSB327568 VSB327575:VSB393104 VSB393111:VSB458640 VSB458647:VSB524176 VSB524183:VSB589712 VSB589719:VSB655248 VSB655255:VSB720784 VSB720791:VSB786320 VSB786327:VSB851856 VSB851863:VSB917392 VSB917399:VSB982928 VSB982935:VSB1048576 WBX8:WBX65424 WBX65431:WBX130960 WBX130967:WBX196496 WBX196503:WBX262032 WBX262039:WBX327568 WBX327575:WBX393104 WBX393111:WBX458640 WBX458647:WBX524176 WBX524183:WBX589712 WBX589719:WBX655248 WBX655255:WBX720784 WBX720791:WBX786320 WBX786327:WBX851856 WBX851863:WBX917392 WBX917399:WBX982928 WBX982935:WBX1048576 WLT8:WLT65424 WLT65431:WLT130960 WLT130967:WLT196496 WLT196503:WLT262032 WLT262039:WLT327568 WLT327575:WLT393104 WLT393111:WLT458640 WLT458647:WLT524176 WLT524183:WLT589712 WLT589719:WLT655248 WLT655255:WLT720784 WLT720791:WLT786320 WLT786327:WLT851856 WLT851863:WLT917392 WLT917399:WLT982928 WLT982935:WLT1048576 WVP8:WVP65424 WVP65431:WVP130960 WVP130967:WVP196496 WVP196503:WVP262032 WVP262039:WVP327568 WVP327575:WVP393104 WVP393111:WVP458640 WVP458647:WVP524176 WVP524183:WVP589712 WVP589719:WVP655248 WVP655255:WVP720784 WVP720791:WVP786320 WVP786327:WVP851856 WVP851863:WVP917392 WVP917399:WVP982928 WVP982935:WVP1048576">
      <formula1>"操作即现,普遍出现,有时出现,偶然出现"</formula1>
    </dataValidation>
    <dataValidation type="list" allowBlank="1" showInputMessage="1" showErrorMessage="1" errorTitle="Warning" error="Invalide Data" prompt="Please choose defect source first" sqref="F8 JA8 SW8 ACS8 AMO8 AWK8 BGG8 BQC8 BZY8 CJU8 CTQ8 DDM8 DNI8 DXE8 EHA8 EQW8 FAS8 FKO8 FUK8 GEG8 GOC8 GXY8 HHU8 HRQ8 IBM8 ILI8 IVE8 JFA8 JOW8 JYS8 KIO8 KSK8 LCG8 LMC8 LVY8 MFU8 MPQ8 MZM8 NJI8 NTE8 ODA8 OMW8 OWS8 PGO8 PQK8 QAG8 QKC8 QTY8 RDU8 RNQ8 RXM8 SHI8 SRE8 TBA8 TKW8 TUS8 UEO8 UOK8 UYG8 VIC8 VRY8 WBU8 WLQ8 WVM8 F65431 JA65431 SW65431 ACS65431 AMO65431 AWK65431 BGG65431 BQC65431 BZY65431 CJU65431 CTQ65431 DDM65431 DNI65431 DXE65431 EHA65431 EQW65431 FAS65431 FKO65431 FUK65431 GEG65431 GOC65431 GXY65431 HHU65431 HRQ65431 IBM65431 ILI65431 IVE65431 JFA65431 JOW65431 JYS65431 KIO65431 KSK65431 LCG65431 LMC65431 LVY65431 MFU65431 MPQ65431 MZM65431 NJI65431 NTE65431 ODA65431 OMW65431 OWS65431 PGO65431 PQK65431 QAG65431 QKC65431 QTY65431 RDU65431 RNQ65431 RXM65431 SHI65431 SRE65431 TBA65431 TKW65431 TUS65431 UEO65431 UOK65431 UYG65431 VIC65431 VRY65431 WBU65431 WLQ65431 WVM65431 F130967 JA130967 SW130967 ACS130967 AMO130967 AWK130967 BGG130967 BQC130967 BZY130967 CJU130967 CTQ130967 DDM130967 DNI130967 DXE130967 EHA130967 EQW130967 FAS130967 FKO130967 FUK130967 GEG130967 GOC130967 GXY130967 HHU130967 HRQ130967 IBM130967 ILI130967 IVE130967 JFA130967 JOW130967 JYS130967 KIO130967 KSK130967 LCG130967 LMC130967 LVY130967 MFU130967 MPQ130967 MZM130967 NJI130967 NTE130967 ODA130967 OMW130967 OWS130967 PGO130967 PQK130967 QAG130967 QKC130967 QTY130967 RDU130967 RNQ130967 RXM130967 SHI130967 SRE130967 TBA130967 TKW130967 TUS130967 UEO130967 UOK130967 UYG130967 VIC130967 VRY130967 WBU130967 WLQ130967 WVM130967 F196503 JA196503 SW196503 ACS196503 AMO196503 AWK196503 BGG196503 BQC196503 BZY196503 CJU196503 CTQ196503 DDM196503 DNI196503 DXE196503 EHA196503 EQW196503 FAS196503 FKO196503 FUK196503 GEG196503 GOC196503 GXY196503 HHU196503 HRQ196503 IBM196503 ILI196503 IVE196503 JFA196503 JOW196503 JYS196503 KIO196503 KSK196503 LCG196503 LMC196503 LVY196503 MFU196503 MPQ196503 MZM196503 NJI196503 NTE196503 ODA196503 OMW196503 OWS196503 PGO196503 PQK196503 QAG196503 QKC196503 QTY196503 RDU196503 RNQ196503 RXM196503 SHI196503 SRE196503 TBA196503 TKW196503 TUS196503 UEO196503 UOK196503 UYG196503 VIC196503 VRY196503 WBU196503 WLQ196503 WVM196503 F262039 JA262039 SW262039 ACS262039 AMO262039 AWK262039 BGG262039 BQC262039 BZY262039 CJU262039 CTQ262039 DDM262039 DNI262039 DXE262039 EHA262039 EQW262039 FAS262039 FKO262039 FUK262039 GEG262039 GOC262039 GXY262039 HHU262039 HRQ262039 IBM262039 ILI262039 IVE262039 JFA262039 JOW262039 JYS262039 KIO262039 KSK262039 LCG262039 LMC262039 LVY262039 MFU262039 MPQ262039 MZM262039 NJI262039 NTE262039 ODA262039 OMW262039 OWS262039 PGO262039 PQK262039 QAG262039 QKC262039 QTY262039 RDU262039 RNQ262039 RXM262039 SHI262039 SRE262039 TBA262039 TKW262039 TUS262039 UEO262039 UOK262039 UYG262039 VIC262039 VRY262039 WBU262039 WLQ262039 WVM262039 F327575 JA327575 SW327575 ACS327575 AMO327575 AWK327575 BGG327575 BQC327575 BZY327575 CJU327575 CTQ327575 DDM327575 DNI327575 DXE327575 EHA327575 EQW327575 FAS327575 FKO327575 FUK327575 GEG327575 GOC327575 GXY327575 HHU327575 HRQ327575 IBM327575 ILI327575 IVE327575 JFA327575 JOW327575 JYS327575 KIO327575 KSK327575 LCG327575 LMC327575 LVY327575 MFU327575 MPQ327575 MZM327575 NJI327575 NTE327575 ODA327575 OMW327575 OWS327575 PGO327575 PQK327575 QAG327575 QKC327575 QTY327575 RDU327575 RNQ327575 RXM327575 SHI327575 SRE327575 TBA327575 TKW327575 TUS327575 UEO327575 UOK327575 UYG327575 VIC327575 VRY327575 WBU327575 WLQ327575 WVM327575 F393111 JA393111 SW393111 ACS393111 AMO393111 AWK393111 BGG393111 BQC393111 BZY393111 CJU393111 CTQ393111 DDM393111 DNI393111 DXE393111 EHA393111 EQW393111 FAS393111 FKO393111 FUK393111 GEG393111 GOC393111 GXY393111 HHU393111 HRQ393111 IBM393111 ILI393111 IVE393111 JFA393111 JOW393111 JYS393111 KIO393111 KSK393111 LCG393111 LMC393111 LVY393111 MFU393111 MPQ393111 MZM393111 NJI393111 NTE393111 ODA393111 OMW393111 OWS393111 PGO393111 PQK393111 QAG393111 QKC393111 QTY393111 RDU393111 RNQ393111 RXM393111 SHI393111 SRE393111 TBA393111 TKW393111 TUS393111 UEO393111 UOK393111 UYG393111 VIC393111 VRY393111 WBU393111 WLQ393111 WVM393111 F458647 JA458647 SW458647 ACS458647 AMO458647 AWK458647 BGG458647 BQC458647 BZY458647 CJU458647 CTQ458647 DDM458647 DNI458647 DXE458647 EHA458647 EQW458647 FAS458647 FKO458647 FUK458647 GEG458647 GOC458647 GXY458647 HHU458647 HRQ458647 IBM458647 ILI458647 IVE458647 JFA458647 JOW458647 JYS458647 KIO458647 KSK458647 LCG458647 LMC458647 LVY458647 MFU458647 MPQ458647 MZM458647 NJI458647 NTE458647 ODA458647 OMW458647 OWS458647 PGO458647 PQK458647 QAG458647 QKC458647 QTY458647 RDU458647 RNQ458647 RXM458647 SHI458647 SRE458647 TBA458647 TKW458647 TUS458647 UEO458647 UOK458647 UYG458647 VIC458647 VRY458647 WBU458647 WLQ458647 WVM458647 F524183 JA524183 SW524183 ACS524183 AMO524183 AWK524183 BGG524183 BQC524183 BZY524183 CJU524183 CTQ524183 DDM524183 DNI524183 DXE524183 EHA524183 EQW524183 FAS524183 FKO524183 FUK524183 GEG524183 GOC524183 GXY524183 HHU524183 HRQ524183 IBM524183 ILI524183 IVE524183 JFA524183 JOW524183 JYS524183 KIO524183 KSK524183 LCG524183 LMC524183 LVY524183 MFU524183 MPQ524183 MZM524183 NJI524183 NTE524183 ODA524183 OMW524183 OWS524183 PGO524183 PQK524183 QAG524183 QKC524183 QTY524183 RDU524183 RNQ524183 RXM524183 SHI524183 SRE524183 TBA524183 TKW524183 TUS524183 UEO524183 UOK524183 UYG524183 VIC524183 VRY524183 WBU524183 WLQ524183 WVM524183 F589719 JA589719 SW589719 ACS589719 AMO589719 AWK589719 BGG589719 BQC589719 BZY589719 CJU589719 CTQ589719 DDM589719 DNI589719 DXE589719 EHA589719 EQW589719 FAS589719 FKO589719 FUK589719 GEG589719 GOC589719 GXY589719 HHU589719 HRQ589719 IBM589719 ILI589719 IVE589719 JFA589719 JOW589719 JYS589719 KIO589719 KSK589719 LCG589719 LMC589719 LVY589719 MFU589719 MPQ589719 MZM589719 NJI589719 NTE589719 ODA589719 OMW589719 OWS589719 PGO589719 PQK589719 QAG589719 QKC589719 QTY589719 RDU589719 RNQ589719 RXM589719 SHI589719 SRE589719 TBA589719 TKW589719 TUS589719 UEO589719 UOK589719 UYG589719 VIC589719 VRY589719 WBU589719 WLQ589719 WVM589719 F655255 JA655255 SW655255 ACS655255 AMO655255 AWK655255 BGG655255 BQC655255 BZY655255 CJU655255 CTQ655255 DDM655255 DNI655255 DXE655255 EHA655255 EQW655255 FAS655255 FKO655255 FUK655255 GEG655255 GOC655255 GXY655255 HHU655255 HRQ655255 IBM655255 ILI655255 IVE655255 JFA655255 JOW655255 JYS655255 KIO655255 KSK655255 LCG655255 LMC655255 LVY655255 MFU655255 MPQ655255 MZM655255 NJI655255 NTE655255 ODA655255 OMW655255 OWS655255 PGO655255 PQK655255 QAG655255 QKC655255 QTY655255 RDU655255 RNQ655255 RXM655255 SHI655255 SRE655255 TBA655255 TKW655255 TUS655255 UEO655255 UOK655255 UYG655255 VIC655255 VRY655255 WBU655255 WLQ655255 WVM655255 F720791 JA720791 SW720791 ACS720791 AMO720791 AWK720791 BGG720791 BQC720791 BZY720791 CJU720791 CTQ720791 DDM720791 DNI720791 DXE720791 EHA720791 EQW720791 FAS720791 FKO720791 FUK720791 GEG720791 GOC720791 GXY720791 HHU720791 HRQ720791 IBM720791 ILI720791 IVE720791 JFA720791 JOW720791 JYS720791 KIO720791 KSK720791 LCG720791 LMC720791 LVY720791 MFU720791 MPQ720791 MZM720791 NJI720791 NTE720791 ODA720791 OMW720791 OWS720791 PGO720791 PQK720791 QAG720791 QKC720791 QTY720791 RDU720791 RNQ720791 RXM720791 SHI720791 SRE720791 TBA720791 TKW720791 TUS720791 UEO720791 UOK720791 UYG720791 VIC720791 VRY720791 WBU720791 WLQ720791 WVM720791 F786327 JA786327 SW786327 ACS786327 AMO786327 AWK786327 BGG786327 BQC786327 BZY786327 CJU786327 CTQ786327 DDM786327 DNI786327 DXE786327 EHA786327 EQW786327 FAS786327 FKO786327 FUK786327 GEG786327 GOC786327 GXY786327 HHU786327 HRQ786327 IBM786327 ILI786327 IVE786327 JFA786327 JOW786327 JYS786327 KIO786327 KSK786327 LCG786327 LMC786327 LVY786327 MFU786327 MPQ786327 MZM786327 NJI786327 NTE786327 ODA786327 OMW786327 OWS786327 PGO786327 PQK786327 QAG786327 QKC786327 QTY786327 RDU786327 RNQ786327 RXM786327 SHI786327 SRE786327 TBA786327 TKW786327 TUS786327 UEO786327 UOK786327 UYG786327 VIC786327 VRY786327 WBU786327 WLQ786327 WVM786327 F851863 JA851863 SW851863 ACS851863 AMO851863 AWK851863 BGG851863 BQC851863 BZY851863 CJU851863 CTQ851863 DDM851863 DNI851863 DXE851863 EHA851863 EQW851863 FAS851863 FKO851863 FUK851863 GEG851863 GOC851863 GXY851863 HHU851863 HRQ851863 IBM851863 ILI851863 IVE851863 JFA851863 JOW851863 JYS851863 KIO851863 KSK851863 LCG851863 LMC851863 LVY851863 MFU851863 MPQ851863 MZM851863 NJI851863 NTE851863 ODA851863 OMW851863 OWS851863 PGO851863 PQK851863 QAG851863 QKC851863 QTY851863 RDU851863 RNQ851863 RXM851863 SHI851863 SRE851863 TBA851863 TKW851863 TUS851863 UEO851863 UOK851863 UYG851863 VIC851863 VRY851863 WBU851863 WLQ851863 WVM851863 F917399 JA917399 SW917399 ACS917399 AMO917399 AWK917399 BGG917399 BQC917399 BZY917399 CJU917399 CTQ917399 DDM917399 DNI917399 DXE917399 EHA917399 EQW917399 FAS917399 FKO917399 FUK917399 GEG917399 GOC917399 GXY917399 HHU917399 HRQ917399 IBM917399 ILI917399 IVE917399 JFA917399 JOW917399 JYS917399 KIO917399 KSK917399 LCG917399 LMC917399 LVY917399 MFU917399 MPQ917399 MZM917399 NJI917399 NTE917399 ODA917399 OMW917399 OWS917399 PGO917399 PQK917399 QAG917399 QKC917399 QTY917399 RDU917399 RNQ917399 RXM917399 SHI917399 SRE917399 TBA917399 TKW917399 TUS917399 UEO917399 UOK917399 UYG917399 VIC917399 VRY917399 WBU917399 WLQ917399 WVM917399 F982935 JA982935 SW982935 ACS982935 AMO982935 AWK982935 BGG982935 BQC982935 BZY982935 CJU982935 CTQ982935 DDM982935 DNI982935 DXE982935 EHA982935 EQW982935 FAS982935 FKO982935 FUK982935 GEG982935 GOC982935 GXY982935 HHU982935 HRQ982935 IBM982935 ILI982935 IVE982935 JFA982935 JOW982935 JYS982935 KIO982935 KSK982935 LCG982935 LMC982935 LVY982935 MFU982935 MPQ982935 MZM982935 NJI982935 NTE982935 ODA982935 OMW982935 OWS982935 PGO982935 PQK982935 QAG982935 QKC982935 QTY982935 RDU982935 RNQ982935 RXM982935 SHI982935 SRE982935 TBA982935 TKW982935 TUS982935 UEO982935 UOK982935 UYG982935 VIC982935 VRY982935 WBU982935 WLQ982935 WVM982935">
      <formula1>" "</formula1>
    </dataValidation>
    <dataValidation type="list" showErrorMessage="1" prompt="&#10;" sqref="H65432:H65436 H130968:H130972 H196504:H196508 H262040:H262044 H327576:H327580 H393112:H393116 H458648:H458652 H524184:H524188 H589720:H589724 H655256:H655260 H720792:H720796 H786328:H786332 H851864:H851868 H917400:H917404 H982936:H982940 JC65432:JC65436 JC130968:JC130972 JC196504:JC196508 JC262040:JC262044 JC327576:JC327580 JC393112:JC393116 JC458648:JC458652 JC524184:JC524188 JC589720:JC589724 JC655256:JC655260 JC720792:JC720796 JC786328:JC786332 JC851864:JC851868 JC917400:JC917404 JC982936:JC982940 SY65432:SY65436 SY130968:SY130972 SY196504:SY196508 SY262040:SY262044 SY327576:SY327580 SY393112:SY393116 SY458648:SY458652 SY524184:SY524188 SY589720:SY589724 SY655256:SY655260 SY720792:SY720796 SY786328:SY786332 SY851864:SY851868 SY917400:SY917404 SY982936:SY982940 ACU65432:ACU65436 ACU130968:ACU130972 ACU196504:ACU196508 ACU262040:ACU262044 ACU327576:ACU327580 ACU393112:ACU393116 ACU458648:ACU458652 ACU524184:ACU524188 ACU589720:ACU589724 ACU655256:ACU655260 ACU720792:ACU720796 ACU786328:ACU786332 ACU851864:ACU851868 ACU917400:ACU917404 ACU982936:ACU982940 AMQ65432:AMQ65436 AMQ130968:AMQ130972 AMQ196504:AMQ196508 AMQ262040:AMQ262044 AMQ327576:AMQ327580 AMQ393112:AMQ393116 AMQ458648:AMQ458652 AMQ524184:AMQ524188 AMQ589720:AMQ589724 AMQ655256:AMQ655260 AMQ720792:AMQ720796 AMQ786328:AMQ786332 AMQ851864:AMQ851868 AMQ917400:AMQ917404 AMQ982936:AMQ982940 AWM65432:AWM65436 AWM130968:AWM130972 AWM196504:AWM196508 AWM262040:AWM262044 AWM327576:AWM327580 AWM393112:AWM393116 AWM458648:AWM458652 AWM524184:AWM524188 AWM589720:AWM589724 AWM655256:AWM655260 AWM720792:AWM720796 AWM786328:AWM786332 AWM851864:AWM851868 AWM917400:AWM917404 AWM982936:AWM982940 BGI65432:BGI65436 BGI130968:BGI130972 BGI196504:BGI196508 BGI262040:BGI262044 BGI327576:BGI327580 BGI393112:BGI393116 BGI458648:BGI458652 BGI524184:BGI524188 BGI589720:BGI589724 BGI655256:BGI655260 BGI720792:BGI720796 BGI786328:BGI786332 BGI851864:BGI851868 BGI917400:BGI917404 BGI982936:BGI982940 BQE65432:BQE65436 BQE130968:BQE130972 BQE196504:BQE196508 BQE262040:BQE262044 BQE327576:BQE327580 BQE393112:BQE393116 BQE458648:BQE458652 BQE524184:BQE524188 BQE589720:BQE589724 BQE655256:BQE655260 BQE720792:BQE720796 BQE786328:BQE786332 BQE851864:BQE851868 BQE917400:BQE917404 BQE982936:BQE982940 CAA65432:CAA65436 CAA130968:CAA130972 CAA196504:CAA196508 CAA262040:CAA262044 CAA327576:CAA327580 CAA393112:CAA393116 CAA458648:CAA458652 CAA524184:CAA524188 CAA589720:CAA589724 CAA655256:CAA655260 CAA720792:CAA720796 CAA786328:CAA786332 CAA851864:CAA851868 CAA917400:CAA917404 CAA982936:CAA982940 CJW65432:CJW65436 CJW130968:CJW130972 CJW196504:CJW196508 CJW262040:CJW262044 CJW327576:CJW327580 CJW393112:CJW393116 CJW458648:CJW458652 CJW524184:CJW524188 CJW589720:CJW589724 CJW655256:CJW655260 CJW720792:CJW720796 CJW786328:CJW786332 CJW851864:CJW851868 CJW917400:CJW917404 CJW982936:CJW982940 CTS65432:CTS65436 CTS130968:CTS130972 CTS196504:CTS196508 CTS262040:CTS262044 CTS327576:CTS327580 CTS393112:CTS393116 CTS458648:CTS458652 CTS524184:CTS524188 CTS589720:CTS589724 CTS655256:CTS655260 CTS720792:CTS720796 CTS786328:CTS786332 CTS851864:CTS851868 CTS917400:CTS917404 CTS982936:CTS982940 DDO65432:DDO65436 DDO130968:DDO130972 DDO196504:DDO196508 DDO262040:DDO262044 DDO327576:DDO327580 DDO393112:DDO393116 DDO458648:DDO458652 DDO524184:DDO524188 DDO589720:DDO589724 DDO655256:DDO655260 DDO720792:DDO720796 DDO786328:DDO786332 DDO851864:DDO851868 DDO917400:DDO917404 DDO982936:DDO982940 DNK65432:DNK65436 DNK130968:DNK130972 DNK196504:DNK196508 DNK262040:DNK262044 DNK327576:DNK327580 DNK393112:DNK393116 DNK458648:DNK458652 DNK524184:DNK524188 DNK589720:DNK589724 DNK655256:DNK655260 DNK720792:DNK720796 DNK786328:DNK786332 DNK851864:DNK851868 DNK917400:DNK917404 DNK982936:DNK982940 DXG65432:DXG65436 DXG130968:DXG130972 DXG196504:DXG196508 DXG262040:DXG262044 DXG327576:DXG327580 DXG393112:DXG393116 DXG458648:DXG458652 DXG524184:DXG524188 DXG589720:DXG589724 DXG655256:DXG655260 DXG720792:DXG720796 DXG786328:DXG786332 DXG851864:DXG851868 DXG917400:DXG917404 DXG982936:DXG982940 EHC65432:EHC65436 EHC130968:EHC130972 EHC196504:EHC196508 EHC262040:EHC262044 EHC327576:EHC327580 EHC393112:EHC393116 EHC458648:EHC458652 EHC524184:EHC524188 EHC589720:EHC589724 EHC655256:EHC655260 EHC720792:EHC720796 EHC786328:EHC786332 EHC851864:EHC851868 EHC917400:EHC917404 EHC982936:EHC982940 EQY65432:EQY65436 EQY130968:EQY130972 EQY196504:EQY196508 EQY262040:EQY262044 EQY327576:EQY327580 EQY393112:EQY393116 EQY458648:EQY458652 EQY524184:EQY524188 EQY589720:EQY589724 EQY655256:EQY655260 EQY720792:EQY720796 EQY786328:EQY786332 EQY851864:EQY851868 EQY917400:EQY917404 EQY982936:EQY982940 FAU65432:FAU65436 FAU130968:FAU130972 FAU196504:FAU196508 FAU262040:FAU262044 FAU327576:FAU327580 FAU393112:FAU393116 FAU458648:FAU458652 FAU524184:FAU524188 FAU589720:FAU589724 FAU655256:FAU655260 FAU720792:FAU720796 FAU786328:FAU786332 FAU851864:FAU851868 FAU917400:FAU917404 FAU982936:FAU982940 FKQ65432:FKQ65436 FKQ130968:FKQ130972 FKQ196504:FKQ196508 FKQ262040:FKQ262044 FKQ327576:FKQ327580 FKQ393112:FKQ393116 FKQ458648:FKQ458652 FKQ524184:FKQ524188 FKQ589720:FKQ589724 FKQ655256:FKQ655260 FKQ720792:FKQ720796 FKQ786328:FKQ786332 FKQ851864:FKQ851868 FKQ917400:FKQ917404 FKQ982936:FKQ982940 FUM65432:FUM65436 FUM130968:FUM130972 FUM196504:FUM196508 FUM262040:FUM262044 FUM327576:FUM327580 FUM393112:FUM393116 FUM458648:FUM458652 FUM524184:FUM524188 FUM589720:FUM589724 FUM655256:FUM655260 FUM720792:FUM720796 FUM786328:FUM786332 FUM851864:FUM851868 FUM917400:FUM917404 FUM982936:FUM982940 GEI65432:GEI65436 GEI130968:GEI130972 GEI196504:GEI196508 GEI262040:GEI262044 GEI327576:GEI327580 GEI393112:GEI393116 GEI458648:GEI458652 GEI524184:GEI524188 GEI589720:GEI589724 GEI655256:GEI655260 GEI720792:GEI720796 GEI786328:GEI786332 GEI851864:GEI851868 GEI917400:GEI917404 GEI982936:GEI982940 GOE65432:GOE65436 GOE130968:GOE130972 GOE196504:GOE196508 GOE262040:GOE262044 GOE327576:GOE327580 GOE393112:GOE393116 GOE458648:GOE458652 GOE524184:GOE524188 GOE589720:GOE589724 GOE655256:GOE655260 GOE720792:GOE720796 GOE786328:GOE786332 GOE851864:GOE851868 GOE917400:GOE917404 GOE982936:GOE982940 GYA65432:GYA65436 GYA130968:GYA130972 GYA196504:GYA196508 GYA262040:GYA262044 GYA327576:GYA327580 GYA393112:GYA393116 GYA458648:GYA458652 GYA524184:GYA524188 GYA589720:GYA589724 GYA655256:GYA655260 GYA720792:GYA720796 GYA786328:GYA786332 GYA851864:GYA851868 GYA917400:GYA917404 GYA982936:GYA982940 HHW65432:HHW65436 HHW130968:HHW130972 HHW196504:HHW196508 HHW262040:HHW262044 HHW327576:HHW327580 HHW393112:HHW393116 HHW458648:HHW458652 HHW524184:HHW524188 HHW589720:HHW589724 HHW655256:HHW655260 HHW720792:HHW720796 HHW786328:HHW786332 HHW851864:HHW851868 HHW917400:HHW917404 HHW982936:HHW982940 HRS65432:HRS65436 HRS130968:HRS130972 HRS196504:HRS196508 HRS262040:HRS262044 HRS327576:HRS327580 HRS393112:HRS393116 HRS458648:HRS458652 HRS524184:HRS524188 HRS589720:HRS589724 HRS655256:HRS655260 HRS720792:HRS720796 HRS786328:HRS786332 HRS851864:HRS851868 HRS917400:HRS917404 HRS982936:HRS982940 IBO65432:IBO65436 IBO130968:IBO130972 IBO196504:IBO196508 IBO262040:IBO262044 IBO327576:IBO327580 IBO393112:IBO393116 IBO458648:IBO458652 IBO524184:IBO524188 IBO589720:IBO589724 IBO655256:IBO655260 IBO720792:IBO720796 IBO786328:IBO786332 IBO851864:IBO851868 IBO917400:IBO917404 IBO982936:IBO982940 ILK65432:ILK65436 ILK130968:ILK130972 ILK196504:ILK196508 ILK262040:ILK262044 ILK327576:ILK327580 ILK393112:ILK393116 ILK458648:ILK458652 ILK524184:ILK524188 ILK589720:ILK589724 ILK655256:ILK655260 ILK720792:ILK720796 ILK786328:ILK786332 ILK851864:ILK851868 ILK917400:ILK917404 ILK982936:ILK982940 IVG65432:IVG65436 IVG130968:IVG130972 IVG196504:IVG196508 IVG262040:IVG262044 IVG327576:IVG327580 IVG393112:IVG393116 IVG458648:IVG458652 IVG524184:IVG524188 IVG589720:IVG589724 IVG655256:IVG655260 IVG720792:IVG720796 IVG786328:IVG786332 IVG851864:IVG851868 IVG917400:IVG917404 IVG982936:IVG982940 JFC65432:JFC65436 JFC130968:JFC130972 JFC196504:JFC196508 JFC262040:JFC262044 JFC327576:JFC327580 JFC393112:JFC393116 JFC458648:JFC458652 JFC524184:JFC524188 JFC589720:JFC589724 JFC655256:JFC655260 JFC720792:JFC720796 JFC786328:JFC786332 JFC851864:JFC851868 JFC917400:JFC917404 JFC982936:JFC982940 JOY65432:JOY65436 JOY130968:JOY130972 JOY196504:JOY196508 JOY262040:JOY262044 JOY327576:JOY327580 JOY393112:JOY393116 JOY458648:JOY458652 JOY524184:JOY524188 JOY589720:JOY589724 JOY655256:JOY655260 JOY720792:JOY720796 JOY786328:JOY786332 JOY851864:JOY851868 JOY917400:JOY917404 JOY982936:JOY982940 JYU65432:JYU65436 JYU130968:JYU130972 JYU196504:JYU196508 JYU262040:JYU262044 JYU327576:JYU327580 JYU393112:JYU393116 JYU458648:JYU458652 JYU524184:JYU524188 JYU589720:JYU589724 JYU655256:JYU655260 JYU720792:JYU720796 JYU786328:JYU786332 JYU851864:JYU851868 JYU917400:JYU917404 JYU982936:JYU982940 KIQ65432:KIQ65436 KIQ130968:KIQ130972 KIQ196504:KIQ196508 KIQ262040:KIQ262044 KIQ327576:KIQ327580 KIQ393112:KIQ393116 KIQ458648:KIQ458652 KIQ524184:KIQ524188 KIQ589720:KIQ589724 KIQ655256:KIQ655260 KIQ720792:KIQ720796 KIQ786328:KIQ786332 KIQ851864:KIQ851868 KIQ917400:KIQ917404 KIQ982936:KIQ982940 KSM65432:KSM65436 KSM130968:KSM130972 KSM196504:KSM196508 KSM262040:KSM262044 KSM327576:KSM327580 KSM393112:KSM393116 KSM458648:KSM458652 KSM524184:KSM524188 KSM589720:KSM589724 KSM655256:KSM655260 KSM720792:KSM720796 KSM786328:KSM786332 KSM851864:KSM851868 KSM917400:KSM917404 KSM982936:KSM982940 LCI65432:LCI65436 LCI130968:LCI130972 LCI196504:LCI196508 LCI262040:LCI262044 LCI327576:LCI327580 LCI393112:LCI393116 LCI458648:LCI458652 LCI524184:LCI524188 LCI589720:LCI589724 LCI655256:LCI655260 LCI720792:LCI720796 LCI786328:LCI786332 LCI851864:LCI851868 LCI917400:LCI917404 LCI982936:LCI982940 LME65432:LME65436 LME130968:LME130972 LME196504:LME196508 LME262040:LME262044 LME327576:LME327580 LME393112:LME393116 LME458648:LME458652 LME524184:LME524188 LME589720:LME589724 LME655256:LME655260 LME720792:LME720796 LME786328:LME786332 LME851864:LME851868 LME917400:LME917404 LME982936:LME982940 LWA65432:LWA65436 LWA130968:LWA130972 LWA196504:LWA196508 LWA262040:LWA262044 LWA327576:LWA327580 LWA393112:LWA393116 LWA458648:LWA458652 LWA524184:LWA524188 LWA589720:LWA589724 LWA655256:LWA655260 LWA720792:LWA720796 LWA786328:LWA786332 LWA851864:LWA851868 LWA917400:LWA917404 LWA982936:LWA982940 MFW65432:MFW65436 MFW130968:MFW130972 MFW196504:MFW196508 MFW262040:MFW262044 MFW327576:MFW327580 MFW393112:MFW393116 MFW458648:MFW458652 MFW524184:MFW524188 MFW589720:MFW589724 MFW655256:MFW655260 MFW720792:MFW720796 MFW786328:MFW786332 MFW851864:MFW851868 MFW917400:MFW917404 MFW982936:MFW982940 MPS65432:MPS65436 MPS130968:MPS130972 MPS196504:MPS196508 MPS262040:MPS262044 MPS327576:MPS327580 MPS393112:MPS393116 MPS458648:MPS458652 MPS524184:MPS524188 MPS589720:MPS589724 MPS655256:MPS655260 MPS720792:MPS720796 MPS786328:MPS786332 MPS851864:MPS851868 MPS917400:MPS917404 MPS982936:MPS982940 MZO65432:MZO65436 MZO130968:MZO130972 MZO196504:MZO196508 MZO262040:MZO262044 MZO327576:MZO327580 MZO393112:MZO393116 MZO458648:MZO458652 MZO524184:MZO524188 MZO589720:MZO589724 MZO655256:MZO655260 MZO720792:MZO720796 MZO786328:MZO786332 MZO851864:MZO851868 MZO917400:MZO917404 MZO982936:MZO982940 NJK65432:NJK65436 NJK130968:NJK130972 NJK196504:NJK196508 NJK262040:NJK262044 NJK327576:NJK327580 NJK393112:NJK393116 NJK458648:NJK458652 NJK524184:NJK524188 NJK589720:NJK589724 NJK655256:NJK655260 NJK720792:NJK720796 NJK786328:NJK786332 NJK851864:NJK851868 NJK917400:NJK917404 NJK982936:NJK982940 NTG65432:NTG65436 NTG130968:NTG130972 NTG196504:NTG196508 NTG262040:NTG262044 NTG327576:NTG327580 NTG393112:NTG393116 NTG458648:NTG458652 NTG524184:NTG524188 NTG589720:NTG589724 NTG655256:NTG655260 NTG720792:NTG720796 NTG786328:NTG786332 NTG851864:NTG851868 NTG917400:NTG917404 NTG982936:NTG982940 ODC65432:ODC65436 ODC130968:ODC130972 ODC196504:ODC196508 ODC262040:ODC262044 ODC327576:ODC327580 ODC393112:ODC393116 ODC458648:ODC458652 ODC524184:ODC524188 ODC589720:ODC589724 ODC655256:ODC655260 ODC720792:ODC720796 ODC786328:ODC786332 ODC851864:ODC851868 ODC917400:ODC917404 ODC982936:ODC982940 OMY65432:OMY65436 OMY130968:OMY130972 OMY196504:OMY196508 OMY262040:OMY262044 OMY327576:OMY327580 OMY393112:OMY393116 OMY458648:OMY458652 OMY524184:OMY524188 OMY589720:OMY589724 OMY655256:OMY655260 OMY720792:OMY720796 OMY786328:OMY786332 OMY851864:OMY851868 OMY917400:OMY917404 OMY982936:OMY982940 OWU65432:OWU65436 OWU130968:OWU130972 OWU196504:OWU196508 OWU262040:OWU262044 OWU327576:OWU327580 OWU393112:OWU393116 OWU458648:OWU458652 OWU524184:OWU524188 OWU589720:OWU589724 OWU655256:OWU655260 OWU720792:OWU720796 OWU786328:OWU786332 OWU851864:OWU851868 OWU917400:OWU917404 OWU982936:OWU982940 PGQ65432:PGQ65436 PGQ130968:PGQ130972 PGQ196504:PGQ196508 PGQ262040:PGQ262044 PGQ327576:PGQ327580 PGQ393112:PGQ393116 PGQ458648:PGQ458652 PGQ524184:PGQ524188 PGQ589720:PGQ589724 PGQ655256:PGQ655260 PGQ720792:PGQ720796 PGQ786328:PGQ786332 PGQ851864:PGQ851868 PGQ917400:PGQ917404 PGQ982936:PGQ982940 PQM65432:PQM65436 PQM130968:PQM130972 PQM196504:PQM196508 PQM262040:PQM262044 PQM327576:PQM327580 PQM393112:PQM393116 PQM458648:PQM458652 PQM524184:PQM524188 PQM589720:PQM589724 PQM655256:PQM655260 PQM720792:PQM720796 PQM786328:PQM786332 PQM851864:PQM851868 PQM917400:PQM917404 PQM982936:PQM982940 QAI65432:QAI65436 QAI130968:QAI130972 QAI196504:QAI196508 QAI262040:QAI262044 QAI327576:QAI327580 QAI393112:QAI393116 QAI458648:QAI458652 QAI524184:QAI524188 QAI589720:QAI589724 QAI655256:QAI655260 QAI720792:QAI720796 QAI786328:QAI786332 QAI851864:QAI851868 QAI917400:QAI917404 QAI982936:QAI982940 QKE65432:QKE65436 QKE130968:QKE130972 QKE196504:QKE196508 QKE262040:QKE262044 QKE327576:QKE327580 QKE393112:QKE393116 QKE458648:QKE458652 QKE524184:QKE524188 QKE589720:QKE589724 QKE655256:QKE655260 QKE720792:QKE720796 QKE786328:QKE786332 QKE851864:QKE851868 QKE917400:QKE917404 QKE982936:QKE982940 QUA65432:QUA65436 QUA130968:QUA130972 QUA196504:QUA196508 QUA262040:QUA262044 QUA327576:QUA327580 QUA393112:QUA393116 QUA458648:QUA458652 QUA524184:QUA524188 QUA589720:QUA589724 QUA655256:QUA655260 QUA720792:QUA720796 QUA786328:QUA786332 QUA851864:QUA851868 QUA917400:QUA917404 QUA982936:QUA982940 RDW65432:RDW65436 RDW130968:RDW130972 RDW196504:RDW196508 RDW262040:RDW262044 RDW327576:RDW327580 RDW393112:RDW393116 RDW458648:RDW458652 RDW524184:RDW524188 RDW589720:RDW589724 RDW655256:RDW655260 RDW720792:RDW720796 RDW786328:RDW786332 RDW851864:RDW851868 RDW917400:RDW917404 RDW982936:RDW982940 RNS65432:RNS65436 RNS130968:RNS130972 RNS196504:RNS196508 RNS262040:RNS262044 RNS327576:RNS327580 RNS393112:RNS393116 RNS458648:RNS458652 RNS524184:RNS524188 RNS589720:RNS589724 RNS655256:RNS655260 RNS720792:RNS720796 RNS786328:RNS786332 RNS851864:RNS851868 RNS917400:RNS917404 RNS982936:RNS982940 RXO65432:RXO65436 RXO130968:RXO130972 RXO196504:RXO196508 RXO262040:RXO262044 RXO327576:RXO327580 RXO393112:RXO393116 RXO458648:RXO458652 RXO524184:RXO524188 RXO589720:RXO589724 RXO655256:RXO655260 RXO720792:RXO720796 RXO786328:RXO786332 RXO851864:RXO851868 RXO917400:RXO917404 RXO982936:RXO982940 SHK65432:SHK65436 SHK130968:SHK130972 SHK196504:SHK196508 SHK262040:SHK262044 SHK327576:SHK327580 SHK393112:SHK393116 SHK458648:SHK458652 SHK524184:SHK524188 SHK589720:SHK589724 SHK655256:SHK655260 SHK720792:SHK720796 SHK786328:SHK786332 SHK851864:SHK851868 SHK917400:SHK917404 SHK982936:SHK982940 SRG65432:SRG65436 SRG130968:SRG130972 SRG196504:SRG196508 SRG262040:SRG262044 SRG327576:SRG327580 SRG393112:SRG393116 SRG458648:SRG458652 SRG524184:SRG524188 SRG589720:SRG589724 SRG655256:SRG655260 SRG720792:SRG720796 SRG786328:SRG786332 SRG851864:SRG851868 SRG917400:SRG917404 SRG982936:SRG982940 TBC65432:TBC65436 TBC130968:TBC130972 TBC196504:TBC196508 TBC262040:TBC262044 TBC327576:TBC327580 TBC393112:TBC393116 TBC458648:TBC458652 TBC524184:TBC524188 TBC589720:TBC589724 TBC655256:TBC655260 TBC720792:TBC720796 TBC786328:TBC786332 TBC851864:TBC851868 TBC917400:TBC917404 TBC982936:TBC982940 TKY65432:TKY65436 TKY130968:TKY130972 TKY196504:TKY196508 TKY262040:TKY262044 TKY327576:TKY327580 TKY393112:TKY393116 TKY458648:TKY458652 TKY524184:TKY524188 TKY589720:TKY589724 TKY655256:TKY655260 TKY720792:TKY720796 TKY786328:TKY786332 TKY851864:TKY851868 TKY917400:TKY917404 TKY982936:TKY982940 TUU65432:TUU65436 TUU130968:TUU130972 TUU196504:TUU196508 TUU262040:TUU262044 TUU327576:TUU327580 TUU393112:TUU393116 TUU458648:TUU458652 TUU524184:TUU524188 TUU589720:TUU589724 TUU655256:TUU655260 TUU720792:TUU720796 TUU786328:TUU786332 TUU851864:TUU851868 TUU917400:TUU917404 TUU982936:TUU982940 UEQ65432:UEQ65436 UEQ130968:UEQ130972 UEQ196504:UEQ196508 UEQ262040:UEQ262044 UEQ327576:UEQ327580 UEQ393112:UEQ393116 UEQ458648:UEQ458652 UEQ524184:UEQ524188 UEQ589720:UEQ589724 UEQ655256:UEQ655260 UEQ720792:UEQ720796 UEQ786328:UEQ786332 UEQ851864:UEQ851868 UEQ917400:UEQ917404 UEQ982936:UEQ982940 UOM65432:UOM65436 UOM130968:UOM130972 UOM196504:UOM196508 UOM262040:UOM262044 UOM327576:UOM327580 UOM393112:UOM393116 UOM458648:UOM458652 UOM524184:UOM524188 UOM589720:UOM589724 UOM655256:UOM655260 UOM720792:UOM720796 UOM786328:UOM786332 UOM851864:UOM851868 UOM917400:UOM917404 UOM982936:UOM982940 UYI65432:UYI65436 UYI130968:UYI130972 UYI196504:UYI196508 UYI262040:UYI262044 UYI327576:UYI327580 UYI393112:UYI393116 UYI458648:UYI458652 UYI524184:UYI524188 UYI589720:UYI589724 UYI655256:UYI655260 UYI720792:UYI720796 UYI786328:UYI786332 UYI851864:UYI851868 UYI917400:UYI917404 UYI982936:UYI982940 VIE65432:VIE65436 VIE130968:VIE130972 VIE196504:VIE196508 VIE262040:VIE262044 VIE327576:VIE327580 VIE393112:VIE393116 VIE458648:VIE458652 VIE524184:VIE524188 VIE589720:VIE589724 VIE655256:VIE655260 VIE720792:VIE720796 VIE786328:VIE786332 VIE851864:VIE851868 VIE917400:VIE917404 VIE982936:VIE982940 VSA65432:VSA65436 VSA130968:VSA130972 VSA196504:VSA196508 VSA262040:VSA262044 VSA327576:VSA327580 VSA393112:VSA393116 VSA458648:VSA458652 VSA524184:VSA524188 VSA589720:VSA589724 VSA655256:VSA655260 VSA720792:VSA720796 VSA786328:VSA786332 VSA851864:VSA851868 VSA917400:VSA917404 VSA982936:VSA982940 WBW65432:WBW65436 WBW130968:WBW130972 WBW196504:WBW196508 WBW262040:WBW262044 WBW327576:WBW327580 WBW393112:WBW393116 WBW458648:WBW458652 WBW524184:WBW524188 WBW589720:WBW589724 WBW655256:WBW655260 WBW720792:WBW720796 WBW786328:WBW786332 WBW851864:WBW851868 WBW917400:WBW917404 WBW982936:WBW982940 WLS65432:WLS65436 WLS130968:WLS130972 WLS196504:WLS196508 WLS262040:WLS262044 WLS327576:WLS327580 WLS393112:WLS393116 WLS458648:WLS458652 WLS524184:WLS524188 WLS589720:WLS589724 WLS655256:WLS655260 WLS720792:WLS720796 WLS786328:WLS786332 WLS851864:WLS851868 WLS917400:WLS917404 WLS982936:WLS982940 WVO65432:WVO65436 WVO130968:WVO130972 WVO196504:WVO196508 WVO262040:WVO262044 WVO327576:WVO327580 WVO393112:WVO393116 WVO458648:WVO458652 WVO524184:WVO524188 WVO589720:WVO589724 WVO655256:WVO655260 WVO720792:WVO720796 WVO786328:WVO786332 WVO851864:WVO851868 WVO917400:WVO917404 WVO982936:WVO982940">
      <formula1>"1-建议性,2-文字错误,3-轻微错误,4-次要错误,5-严重错误,6-系统崩溃"</formula1>
    </dataValidation>
    <dataValidation type="list" allowBlank="1" showInputMessage="1" showErrorMessage="1" sqref="J65432:J65436 J130968:J130972 J196504:J196508 J262040:J262044 J327576:J327580 J393112:J393116 J458648:J458652 J524184:J524188 J589720:J589724 J655256:J655260 J720792:J720796 J786328:J786332 J851864:J851868 J917400:J917404 J982936:J982940 JE65432:JE65436 JE130968:JE130972 JE196504:JE196508 JE262040:JE262044 JE327576:JE327580 JE393112:JE393116 JE458648:JE458652 JE524184:JE524188 JE589720:JE589724 JE655256:JE655260 JE720792:JE720796 JE786328:JE786332 JE851864:JE851868 JE917400:JE917404 JE982936:JE982940 TA65432:TA65436 TA130968:TA130972 TA196504:TA196508 TA262040:TA262044 TA327576:TA327580 TA393112:TA393116 TA458648:TA458652 TA524184:TA524188 TA589720:TA589724 TA655256:TA655260 TA720792:TA720796 TA786328:TA786332 TA851864:TA851868 TA917400:TA917404 TA982936:TA982940 ACW65432:ACW65436 ACW130968:ACW130972 ACW196504:ACW196508 ACW262040:ACW262044 ACW327576:ACW327580 ACW393112:ACW393116 ACW458648:ACW458652 ACW524184:ACW524188 ACW589720:ACW589724 ACW655256:ACW655260 ACW720792:ACW720796 ACW786328:ACW786332 ACW851864:ACW851868 ACW917400:ACW917404 ACW982936:ACW982940 AMS65432:AMS65436 AMS130968:AMS130972 AMS196504:AMS196508 AMS262040:AMS262044 AMS327576:AMS327580 AMS393112:AMS393116 AMS458648:AMS458652 AMS524184:AMS524188 AMS589720:AMS589724 AMS655256:AMS655260 AMS720792:AMS720796 AMS786328:AMS786332 AMS851864:AMS851868 AMS917400:AMS917404 AMS982936:AMS982940 AWO65432:AWO65436 AWO130968:AWO130972 AWO196504:AWO196508 AWO262040:AWO262044 AWO327576:AWO327580 AWO393112:AWO393116 AWO458648:AWO458652 AWO524184:AWO524188 AWO589720:AWO589724 AWO655256:AWO655260 AWO720792:AWO720796 AWO786328:AWO786332 AWO851864:AWO851868 AWO917400:AWO917404 AWO982936:AWO982940 BGK65432:BGK65436 BGK130968:BGK130972 BGK196504:BGK196508 BGK262040:BGK262044 BGK327576:BGK327580 BGK393112:BGK393116 BGK458648:BGK458652 BGK524184:BGK524188 BGK589720:BGK589724 BGK655256:BGK655260 BGK720792:BGK720796 BGK786328:BGK786332 BGK851864:BGK851868 BGK917400:BGK917404 BGK982936:BGK982940 BQG65432:BQG65436 BQG130968:BQG130972 BQG196504:BQG196508 BQG262040:BQG262044 BQG327576:BQG327580 BQG393112:BQG393116 BQG458648:BQG458652 BQG524184:BQG524188 BQG589720:BQG589724 BQG655256:BQG655260 BQG720792:BQG720796 BQG786328:BQG786332 BQG851864:BQG851868 BQG917400:BQG917404 BQG982936:BQG982940 CAC65432:CAC65436 CAC130968:CAC130972 CAC196504:CAC196508 CAC262040:CAC262044 CAC327576:CAC327580 CAC393112:CAC393116 CAC458648:CAC458652 CAC524184:CAC524188 CAC589720:CAC589724 CAC655256:CAC655260 CAC720792:CAC720796 CAC786328:CAC786332 CAC851864:CAC851868 CAC917400:CAC917404 CAC982936:CAC982940 CJY65432:CJY65436 CJY130968:CJY130972 CJY196504:CJY196508 CJY262040:CJY262044 CJY327576:CJY327580 CJY393112:CJY393116 CJY458648:CJY458652 CJY524184:CJY524188 CJY589720:CJY589724 CJY655256:CJY655260 CJY720792:CJY720796 CJY786328:CJY786332 CJY851864:CJY851868 CJY917400:CJY917404 CJY982936:CJY982940 CTU65432:CTU65436 CTU130968:CTU130972 CTU196504:CTU196508 CTU262040:CTU262044 CTU327576:CTU327580 CTU393112:CTU393116 CTU458648:CTU458652 CTU524184:CTU524188 CTU589720:CTU589724 CTU655256:CTU655260 CTU720792:CTU720796 CTU786328:CTU786332 CTU851864:CTU851868 CTU917400:CTU917404 CTU982936:CTU982940 DDQ65432:DDQ65436 DDQ130968:DDQ130972 DDQ196504:DDQ196508 DDQ262040:DDQ262044 DDQ327576:DDQ327580 DDQ393112:DDQ393116 DDQ458648:DDQ458652 DDQ524184:DDQ524188 DDQ589720:DDQ589724 DDQ655256:DDQ655260 DDQ720792:DDQ720796 DDQ786328:DDQ786332 DDQ851864:DDQ851868 DDQ917400:DDQ917404 DDQ982936:DDQ982940 DNM65432:DNM65436 DNM130968:DNM130972 DNM196504:DNM196508 DNM262040:DNM262044 DNM327576:DNM327580 DNM393112:DNM393116 DNM458648:DNM458652 DNM524184:DNM524188 DNM589720:DNM589724 DNM655256:DNM655260 DNM720792:DNM720796 DNM786328:DNM786332 DNM851864:DNM851868 DNM917400:DNM917404 DNM982936:DNM982940 DXI65432:DXI65436 DXI130968:DXI130972 DXI196504:DXI196508 DXI262040:DXI262044 DXI327576:DXI327580 DXI393112:DXI393116 DXI458648:DXI458652 DXI524184:DXI524188 DXI589720:DXI589724 DXI655256:DXI655260 DXI720792:DXI720796 DXI786328:DXI786332 DXI851864:DXI851868 DXI917400:DXI917404 DXI982936:DXI982940 EHE65432:EHE65436 EHE130968:EHE130972 EHE196504:EHE196508 EHE262040:EHE262044 EHE327576:EHE327580 EHE393112:EHE393116 EHE458648:EHE458652 EHE524184:EHE524188 EHE589720:EHE589724 EHE655256:EHE655260 EHE720792:EHE720796 EHE786328:EHE786332 EHE851864:EHE851868 EHE917400:EHE917404 EHE982936:EHE982940 ERA65432:ERA65436 ERA130968:ERA130972 ERA196504:ERA196508 ERA262040:ERA262044 ERA327576:ERA327580 ERA393112:ERA393116 ERA458648:ERA458652 ERA524184:ERA524188 ERA589720:ERA589724 ERA655256:ERA655260 ERA720792:ERA720796 ERA786328:ERA786332 ERA851864:ERA851868 ERA917400:ERA917404 ERA982936:ERA982940 FAW65432:FAW65436 FAW130968:FAW130972 FAW196504:FAW196508 FAW262040:FAW262044 FAW327576:FAW327580 FAW393112:FAW393116 FAW458648:FAW458652 FAW524184:FAW524188 FAW589720:FAW589724 FAW655256:FAW655260 FAW720792:FAW720796 FAW786328:FAW786332 FAW851864:FAW851868 FAW917400:FAW917404 FAW982936:FAW982940 FKS65432:FKS65436 FKS130968:FKS130972 FKS196504:FKS196508 FKS262040:FKS262044 FKS327576:FKS327580 FKS393112:FKS393116 FKS458648:FKS458652 FKS524184:FKS524188 FKS589720:FKS589724 FKS655256:FKS655260 FKS720792:FKS720796 FKS786328:FKS786332 FKS851864:FKS851868 FKS917400:FKS917404 FKS982936:FKS982940 FUO65432:FUO65436 FUO130968:FUO130972 FUO196504:FUO196508 FUO262040:FUO262044 FUO327576:FUO327580 FUO393112:FUO393116 FUO458648:FUO458652 FUO524184:FUO524188 FUO589720:FUO589724 FUO655256:FUO655260 FUO720792:FUO720796 FUO786328:FUO786332 FUO851864:FUO851868 FUO917400:FUO917404 FUO982936:FUO982940 GEK65432:GEK65436 GEK130968:GEK130972 GEK196504:GEK196508 GEK262040:GEK262044 GEK327576:GEK327580 GEK393112:GEK393116 GEK458648:GEK458652 GEK524184:GEK524188 GEK589720:GEK589724 GEK655256:GEK655260 GEK720792:GEK720796 GEK786328:GEK786332 GEK851864:GEK851868 GEK917400:GEK917404 GEK982936:GEK982940 GOG65432:GOG65436 GOG130968:GOG130972 GOG196504:GOG196508 GOG262040:GOG262044 GOG327576:GOG327580 GOG393112:GOG393116 GOG458648:GOG458652 GOG524184:GOG524188 GOG589720:GOG589724 GOG655256:GOG655260 GOG720792:GOG720796 GOG786328:GOG786332 GOG851864:GOG851868 GOG917400:GOG917404 GOG982936:GOG982940 GYC65432:GYC65436 GYC130968:GYC130972 GYC196504:GYC196508 GYC262040:GYC262044 GYC327576:GYC327580 GYC393112:GYC393116 GYC458648:GYC458652 GYC524184:GYC524188 GYC589720:GYC589724 GYC655256:GYC655260 GYC720792:GYC720796 GYC786328:GYC786332 GYC851864:GYC851868 GYC917400:GYC917404 GYC982936:GYC982940 HHY65432:HHY65436 HHY130968:HHY130972 HHY196504:HHY196508 HHY262040:HHY262044 HHY327576:HHY327580 HHY393112:HHY393116 HHY458648:HHY458652 HHY524184:HHY524188 HHY589720:HHY589724 HHY655256:HHY655260 HHY720792:HHY720796 HHY786328:HHY786332 HHY851864:HHY851868 HHY917400:HHY917404 HHY982936:HHY982940 HRU65432:HRU65436 HRU130968:HRU130972 HRU196504:HRU196508 HRU262040:HRU262044 HRU327576:HRU327580 HRU393112:HRU393116 HRU458648:HRU458652 HRU524184:HRU524188 HRU589720:HRU589724 HRU655256:HRU655260 HRU720792:HRU720796 HRU786328:HRU786332 HRU851864:HRU851868 HRU917400:HRU917404 HRU982936:HRU982940 IBQ65432:IBQ65436 IBQ130968:IBQ130972 IBQ196504:IBQ196508 IBQ262040:IBQ262044 IBQ327576:IBQ327580 IBQ393112:IBQ393116 IBQ458648:IBQ458652 IBQ524184:IBQ524188 IBQ589720:IBQ589724 IBQ655256:IBQ655260 IBQ720792:IBQ720796 IBQ786328:IBQ786332 IBQ851864:IBQ851868 IBQ917400:IBQ917404 IBQ982936:IBQ982940 ILM65432:ILM65436 ILM130968:ILM130972 ILM196504:ILM196508 ILM262040:ILM262044 ILM327576:ILM327580 ILM393112:ILM393116 ILM458648:ILM458652 ILM524184:ILM524188 ILM589720:ILM589724 ILM655256:ILM655260 ILM720792:ILM720796 ILM786328:ILM786332 ILM851864:ILM851868 ILM917400:ILM917404 ILM982936:ILM982940 IVI65432:IVI65436 IVI130968:IVI130972 IVI196504:IVI196508 IVI262040:IVI262044 IVI327576:IVI327580 IVI393112:IVI393116 IVI458648:IVI458652 IVI524184:IVI524188 IVI589720:IVI589724 IVI655256:IVI655260 IVI720792:IVI720796 IVI786328:IVI786332 IVI851864:IVI851868 IVI917400:IVI917404 IVI982936:IVI982940 JFE65432:JFE65436 JFE130968:JFE130972 JFE196504:JFE196508 JFE262040:JFE262044 JFE327576:JFE327580 JFE393112:JFE393116 JFE458648:JFE458652 JFE524184:JFE524188 JFE589720:JFE589724 JFE655256:JFE655260 JFE720792:JFE720796 JFE786328:JFE786332 JFE851864:JFE851868 JFE917400:JFE917404 JFE982936:JFE982940 JPA65432:JPA65436 JPA130968:JPA130972 JPA196504:JPA196508 JPA262040:JPA262044 JPA327576:JPA327580 JPA393112:JPA393116 JPA458648:JPA458652 JPA524184:JPA524188 JPA589720:JPA589724 JPA655256:JPA655260 JPA720792:JPA720796 JPA786328:JPA786332 JPA851864:JPA851868 JPA917400:JPA917404 JPA982936:JPA982940 JYW65432:JYW65436 JYW130968:JYW130972 JYW196504:JYW196508 JYW262040:JYW262044 JYW327576:JYW327580 JYW393112:JYW393116 JYW458648:JYW458652 JYW524184:JYW524188 JYW589720:JYW589724 JYW655256:JYW655260 JYW720792:JYW720796 JYW786328:JYW786332 JYW851864:JYW851868 JYW917400:JYW917404 JYW982936:JYW982940 KIS65432:KIS65436 KIS130968:KIS130972 KIS196504:KIS196508 KIS262040:KIS262044 KIS327576:KIS327580 KIS393112:KIS393116 KIS458648:KIS458652 KIS524184:KIS524188 KIS589720:KIS589724 KIS655256:KIS655260 KIS720792:KIS720796 KIS786328:KIS786332 KIS851864:KIS851868 KIS917400:KIS917404 KIS982936:KIS982940 KSO65432:KSO65436 KSO130968:KSO130972 KSO196504:KSO196508 KSO262040:KSO262044 KSO327576:KSO327580 KSO393112:KSO393116 KSO458648:KSO458652 KSO524184:KSO524188 KSO589720:KSO589724 KSO655256:KSO655260 KSO720792:KSO720796 KSO786328:KSO786332 KSO851864:KSO851868 KSO917400:KSO917404 KSO982936:KSO982940 LCK65432:LCK65436 LCK130968:LCK130972 LCK196504:LCK196508 LCK262040:LCK262044 LCK327576:LCK327580 LCK393112:LCK393116 LCK458648:LCK458652 LCK524184:LCK524188 LCK589720:LCK589724 LCK655256:LCK655260 LCK720792:LCK720796 LCK786328:LCK786332 LCK851864:LCK851868 LCK917400:LCK917404 LCK982936:LCK982940 LMG65432:LMG65436 LMG130968:LMG130972 LMG196504:LMG196508 LMG262040:LMG262044 LMG327576:LMG327580 LMG393112:LMG393116 LMG458648:LMG458652 LMG524184:LMG524188 LMG589720:LMG589724 LMG655256:LMG655260 LMG720792:LMG720796 LMG786328:LMG786332 LMG851864:LMG851868 LMG917400:LMG917404 LMG982936:LMG982940 LWC65432:LWC65436 LWC130968:LWC130972 LWC196504:LWC196508 LWC262040:LWC262044 LWC327576:LWC327580 LWC393112:LWC393116 LWC458648:LWC458652 LWC524184:LWC524188 LWC589720:LWC589724 LWC655256:LWC655260 LWC720792:LWC720796 LWC786328:LWC786332 LWC851864:LWC851868 LWC917400:LWC917404 LWC982936:LWC982940 MFY65432:MFY65436 MFY130968:MFY130972 MFY196504:MFY196508 MFY262040:MFY262044 MFY327576:MFY327580 MFY393112:MFY393116 MFY458648:MFY458652 MFY524184:MFY524188 MFY589720:MFY589724 MFY655256:MFY655260 MFY720792:MFY720796 MFY786328:MFY786332 MFY851864:MFY851868 MFY917400:MFY917404 MFY982936:MFY982940 MPU65432:MPU65436 MPU130968:MPU130972 MPU196504:MPU196508 MPU262040:MPU262044 MPU327576:MPU327580 MPU393112:MPU393116 MPU458648:MPU458652 MPU524184:MPU524188 MPU589720:MPU589724 MPU655256:MPU655260 MPU720792:MPU720796 MPU786328:MPU786332 MPU851864:MPU851868 MPU917400:MPU917404 MPU982936:MPU982940 MZQ65432:MZQ65436 MZQ130968:MZQ130972 MZQ196504:MZQ196508 MZQ262040:MZQ262044 MZQ327576:MZQ327580 MZQ393112:MZQ393116 MZQ458648:MZQ458652 MZQ524184:MZQ524188 MZQ589720:MZQ589724 MZQ655256:MZQ655260 MZQ720792:MZQ720796 MZQ786328:MZQ786332 MZQ851864:MZQ851868 MZQ917400:MZQ917404 MZQ982936:MZQ982940 NJM65432:NJM65436 NJM130968:NJM130972 NJM196504:NJM196508 NJM262040:NJM262044 NJM327576:NJM327580 NJM393112:NJM393116 NJM458648:NJM458652 NJM524184:NJM524188 NJM589720:NJM589724 NJM655256:NJM655260 NJM720792:NJM720796 NJM786328:NJM786332 NJM851864:NJM851868 NJM917400:NJM917404 NJM982936:NJM982940 NTI65432:NTI65436 NTI130968:NTI130972 NTI196504:NTI196508 NTI262040:NTI262044 NTI327576:NTI327580 NTI393112:NTI393116 NTI458648:NTI458652 NTI524184:NTI524188 NTI589720:NTI589724 NTI655256:NTI655260 NTI720792:NTI720796 NTI786328:NTI786332 NTI851864:NTI851868 NTI917400:NTI917404 NTI982936:NTI982940 ODE65432:ODE65436 ODE130968:ODE130972 ODE196504:ODE196508 ODE262040:ODE262044 ODE327576:ODE327580 ODE393112:ODE393116 ODE458648:ODE458652 ODE524184:ODE524188 ODE589720:ODE589724 ODE655256:ODE655260 ODE720792:ODE720796 ODE786328:ODE786332 ODE851864:ODE851868 ODE917400:ODE917404 ODE982936:ODE982940 ONA65432:ONA65436 ONA130968:ONA130972 ONA196504:ONA196508 ONA262040:ONA262044 ONA327576:ONA327580 ONA393112:ONA393116 ONA458648:ONA458652 ONA524184:ONA524188 ONA589720:ONA589724 ONA655256:ONA655260 ONA720792:ONA720796 ONA786328:ONA786332 ONA851864:ONA851868 ONA917400:ONA917404 ONA982936:ONA982940 OWW65432:OWW65436 OWW130968:OWW130972 OWW196504:OWW196508 OWW262040:OWW262044 OWW327576:OWW327580 OWW393112:OWW393116 OWW458648:OWW458652 OWW524184:OWW524188 OWW589720:OWW589724 OWW655256:OWW655260 OWW720792:OWW720796 OWW786328:OWW786332 OWW851864:OWW851868 OWW917400:OWW917404 OWW982936:OWW982940 PGS65432:PGS65436 PGS130968:PGS130972 PGS196504:PGS196508 PGS262040:PGS262044 PGS327576:PGS327580 PGS393112:PGS393116 PGS458648:PGS458652 PGS524184:PGS524188 PGS589720:PGS589724 PGS655256:PGS655260 PGS720792:PGS720796 PGS786328:PGS786332 PGS851864:PGS851868 PGS917400:PGS917404 PGS982936:PGS982940 PQO65432:PQO65436 PQO130968:PQO130972 PQO196504:PQO196508 PQO262040:PQO262044 PQO327576:PQO327580 PQO393112:PQO393116 PQO458648:PQO458652 PQO524184:PQO524188 PQO589720:PQO589724 PQO655256:PQO655260 PQO720792:PQO720796 PQO786328:PQO786332 PQO851864:PQO851868 PQO917400:PQO917404 PQO982936:PQO982940 QAK65432:QAK65436 QAK130968:QAK130972 QAK196504:QAK196508 QAK262040:QAK262044 QAK327576:QAK327580 QAK393112:QAK393116 QAK458648:QAK458652 QAK524184:QAK524188 QAK589720:QAK589724 QAK655256:QAK655260 QAK720792:QAK720796 QAK786328:QAK786332 QAK851864:QAK851868 QAK917400:QAK917404 QAK982936:QAK982940 QKG65432:QKG65436 QKG130968:QKG130972 QKG196504:QKG196508 QKG262040:QKG262044 QKG327576:QKG327580 QKG393112:QKG393116 QKG458648:QKG458652 QKG524184:QKG524188 QKG589720:QKG589724 QKG655256:QKG655260 QKG720792:QKG720796 QKG786328:QKG786332 QKG851864:QKG851868 QKG917400:QKG917404 QKG982936:QKG982940 QUC65432:QUC65436 QUC130968:QUC130972 QUC196504:QUC196508 QUC262040:QUC262044 QUC327576:QUC327580 QUC393112:QUC393116 QUC458648:QUC458652 QUC524184:QUC524188 QUC589720:QUC589724 QUC655256:QUC655260 QUC720792:QUC720796 QUC786328:QUC786332 QUC851864:QUC851868 QUC917400:QUC917404 QUC982936:QUC982940 RDY65432:RDY65436 RDY130968:RDY130972 RDY196504:RDY196508 RDY262040:RDY262044 RDY327576:RDY327580 RDY393112:RDY393116 RDY458648:RDY458652 RDY524184:RDY524188 RDY589720:RDY589724 RDY655256:RDY655260 RDY720792:RDY720796 RDY786328:RDY786332 RDY851864:RDY851868 RDY917400:RDY917404 RDY982936:RDY982940 RNU65432:RNU65436 RNU130968:RNU130972 RNU196504:RNU196508 RNU262040:RNU262044 RNU327576:RNU327580 RNU393112:RNU393116 RNU458648:RNU458652 RNU524184:RNU524188 RNU589720:RNU589724 RNU655256:RNU655260 RNU720792:RNU720796 RNU786328:RNU786332 RNU851864:RNU851868 RNU917400:RNU917404 RNU982936:RNU982940 RXQ65432:RXQ65436 RXQ130968:RXQ130972 RXQ196504:RXQ196508 RXQ262040:RXQ262044 RXQ327576:RXQ327580 RXQ393112:RXQ393116 RXQ458648:RXQ458652 RXQ524184:RXQ524188 RXQ589720:RXQ589724 RXQ655256:RXQ655260 RXQ720792:RXQ720796 RXQ786328:RXQ786332 RXQ851864:RXQ851868 RXQ917400:RXQ917404 RXQ982936:RXQ982940 SHM65432:SHM65436 SHM130968:SHM130972 SHM196504:SHM196508 SHM262040:SHM262044 SHM327576:SHM327580 SHM393112:SHM393116 SHM458648:SHM458652 SHM524184:SHM524188 SHM589720:SHM589724 SHM655256:SHM655260 SHM720792:SHM720796 SHM786328:SHM786332 SHM851864:SHM851868 SHM917400:SHM917404 SHM982936:SHM982940 SRI65432:SRI65436 SRI130968:SRI130972 SRI196504:SRI196508 SRI262040:SRI262044 SRI327576:SRI327580 SRI393112:SRI393116 SRI458648:SRI458652 SRI524184:SRI524188 SRI589720:SRI589724 SRI655256:SRI655260 SRI720792:SRI720796 SRI786328:SRI786332 SRI851864:SRI851868 SRI917400:SRI917404 SRI982936:SRI982940 TBE65432:TBE65436 TBE130968:TBE130972 TBE196504:TBE196508 TBE262040:TBE262044 TBE327576:TBE327580 TBE393112:TBE393116 TBE458648:TBE458652 TBE524184:TBE524188 TBE589720:TBE589724 TBE655256:TBE655260 TBE720792:TBE720796 TBE786328:TBE786332 TBE851864:TBE851868 TBE917400:TBE917404 TBE982936:TBE982940 TLA65432:TLA65436 TLA130968:TLA130972 TLA196504:TLA196508 TLA262040:TLA262044 TLA327576:TLA327580 TLA393112:TLA393116 TLA458648:TLA458652 TLA524184:TLA524188 TLA589720:TLA589724 TLA655256:TLA655260 TLA720792:TLA720796 TLA786328:TLA786332 TLA851864:TLA851868 TLA917400:TLA917404 TLA982936:TLA982940 TUW65432:TUW65436 TUW130968:TUW130972 TUW196504:TUW196508 TUW262040:TUW262044 TUW327576:TUW327580 TUW393112:TUW393116 TUW458648:TUW458652 TUW524184:TUW524188 TUW589720:TUW589724 TUW655256:TUW655260 TUW720792:TUW720796 TUW786328:TUW786332 TUW851864:TUW851868 TUW917400:TUW917404 TUW982936:TUW982940 UES65432:UES65436 UES130968:UES130972 UES196504:UES196508 UES262040:UES262044 UES327576:UES327580 UES393112:UES393116 UES458648:UES458652 UES524184:UES524188 UES589720:UES589724 UES655256:UES655260 UES720792:UES720796 UES786328:UES786332 UES851864:UES851868 UES917400:UES917404 UES982936:UES982940 UOO65432:UOO65436 UOO130968:UOO130972 UOO196504:UOO196508 UOO262040:UOO262044 UOO327576:UOO327580 UOO393112:UOO393116 UOO458648:UOO458652 UOO524184:UOO524188 UOO589720:UOO589724 UOO655256:UOO655260 UOO720792:UOO720796 UOO786328:UOO786332 UOO851864:UOO851868 UOO917400:UOO917404 UOO982936:UOO982940 UYK65432:UYK65436 UYK130968:UYK130972 UYK196504:UYK196508 UYK262040:UYK262044 UYK327576:UYK327580 UYK393112:UYK393116 UYK458648:UYK458652 UYK524184:UYK524188 UYK589720:UYK589724 UYK655256:UYK655260 UYK720792:UYK720796 UYK786328:UYK786332 UYK851864:UYK851868 UYK917400:UYK917404 UYK982936:UYK982940 VIG65432:VIG65436 VIG130968:VIG130972 VIG196504:VIG196508 VIG262040:VIG262044 VIG327576:VIG327580 VIG393112:VIG393116 VIG458648:VIG458652 VIG524184:VIG524188 VIG589720:VIG589724 VIG655256:VIG655260 VIG720792:VIG720796 VIG786328:VIG786332 VIG851864:VIG851868 VIG917400:VIG917404 VIG982936:VIG982940 VSC65432:VSC65436 VSC130968:VSC130972 VSC196504:VSC196508 VSC262040:VSC262044 VSC327576:VSC327580 VSC393112:VSC393116 VSC458648:VSC458652 VSC524184:VSC524188 VSC589720:VSC589724 VSC655256:VSC655260 VSC720792:VSC720796 VSC786328:VSC786332 VSC851864:VSC851868 VSC917400:VSC917404 VSC982936:VSC982940 WBY65432:WBY65436 WBY130968:WBY130972 WBY196504:WBY196508 WBY262040:WBY262044 WBY327576:WBY327580 WBY393112:WBY393116 WBY458648:WBY458652 WBY524184:WBY524188 WBY589720:WBY589724 WBY655256:WBY655260 WBY720792:WBY720796 WBY786328:WBY786332 WBY851864:WBY851868 WBY917400:WBY917404 WBY982936:WBY982940 WLU65432:WLU65436 WLU130968:WLU130972 WLU196504:WLU196508 WLU262040:WLU262044 WLU327576:WLU327580 WLU393112:WLU393116 WLU458648:WLU458652 WLU524184:WLU524188 WLU589720:WLU589724 WLU655256:WLU655260 WLU720792:WLU720796 WLU786328:WLU786332 WLU851864:WLU851868 WLU917400:WLU917404 WLU982936:WLU982940 WVQ65432:WVQ65436 WVQ130968:WVQ130972 WVQ196504:WVQ196508 WVQ262040:WVQ262044 WVQ327576:WVQ327580 WVQ393112:WVQ393116 WVQ458648:WVQ458652 WVQ524184:WVQ524188 WVQ589720:WVQ589724 WVQ655256:WVQ655260 WVQ720792:WVQ720796 WVQ786328:WVQ786332 WVQ851864:WVQ851868 WVQ917400:WVQ917404 WVQ982936:WVQ982940">
      <formula1>"新建,修复中,已挂起,已否决,已撤销,已关闭,重新打开"</formula1>
    </dataValidation>
    <dataValidation type="list" allowBlank="1" showInputMessage="1" showErrorMessage="1" sqref="JM65432:JM65436 JM130968:JM130972 JM196504:JM196508 JM262040:JM262044 JM327576:JM327580 JM393112:JM393116 JM458648:JM458652 JM524184:JM524188 JM589720:JM589724 JM655256:JM655260 JM720792:JM720796 JM786328:JM786332 JM851864:JM851868 JM917400:JM917404 JM982936:JM982940 TI65432:TI65436 TI130968:TI130972 TI196504:TI196508 TI262040:TI262044 TI327576:TI327580 TI393112:TI393116 TI458648:TI458652 TI524184:TI524188 TI589720:TI589724 TI655256:TI655260 TI720792:TI720796 TI786328:TI786332 TI851864:TI851868 TI917400:TI917404 TI982936:TI982940 ADE65432:ADE65436 ADE130968:ADE130972 ADE196504:ADE196508 ADE262040:ADE262044 ADE327576:ADE327580 ADE393112:ADE393116 ADE458648:ADE458652 ADE524184:ADE524188 ADE589720:ADE589724 ADE655256:ADE655260 ADE720792:ADE720796 ADE786328:ADE786332 ADE851864:ADE851868 ADE917400:ADE917404 ADE982936:ADE982940 ANA65432:ANA65436 ANA130968:ANA130972 ANA196504:ANA196508 ANA262040:ANA262044 ANA327576:ANA327580 ANA393112:ANA393116 ANA458648:ANA458652 ANA524184:ANA524188 ANA589720:ANA589724 ANA655256:ANA655260 ANA720792:ANA720796 ANA786328:ANA786332 ANA851864:ANA851868 ANA917400:ANA917404 ANA982936:ANA982940 AWW65432:AWW65436 AWW130968:AWW130972 AWW196504:AWW196508 AWW262040:AWW262044 AWW327576:AWW327580 AWW393112:AWW393116 AWW458648:AWW458652 AWW524184:AWW524188 AWW589720:AWW589724 AWW655256:AWW655260 AWW720792:AWW720796 AWW786328:AWW786332 AWW851864:AWW851868 AWW917400:AWW917404 AWW982936:AWW982940 BGS65432:BGS65436 BGS130968:BGS130972 BGS196504:BGS196508 BGS262040:BGS262044 BGS327576:BGS327580 BGS393112:BGS393116 BGS458648:BGS458652 BGS524184:BGS524188 BGS589720:BGS589724 BGS655256:BGS655260 BGS720792:BGS720796 BGS786328:BGS786332 BGS851864:BGS851868 BGS917400:BGS917404 BGS982936:BGS982940 BQO65432:BQO65436 BQO130968:BQO130972 BQO196504:BQO196508 BQO262040:BQO262044 BQO327576:BQO327580 BQO393112:BQO393116 BQO458648:BQO458652 BQO524184:BQO524188 BQO589720:BQO589724 BQO655256:BQO655260 BQO720792:BQO720796 BQO786328:BQO786332 BQO851864:BQO851868 BQO917400:BQO917404 BQO982936:BQO982940 CAK65432:CAK65436 CAK130968:CAK130972 CAK196504:CAK196508 CAK262040:CAK262044 CAK327576:CAK327580 CAK393112:CAK393116 CAK458648:CAK458652 CAK524184:CAK524188 CAK589720:CAK589724 CAK655256:CAK655260 CAK720792:CAK720796 CAK786328:CAK786332 CAK851864:CAK851868 CAK917400:CAK917404 CAK982936:CAK982940 CKG65432:CKG65436 CKG130968:CKG130972 CKG196504:CKG196508 CKG262040:CKG262044 CKG327576:CKG327580 CKG393112:CKG393116 CKG458648:CKG458652 CKG524184:CKG524188 CKG589720:CKG589724 CKG655256:CKG655260 CKG720792:CKG720796 CKG786328:CKG786332 CKG851864:CKG851868 CKG917400:CKG917404 CKG982936:CKG982940 CUC65432:CUC65436 CUC130968:CUC130972 CUC196504:CUC196508 CUC262040:CUC262044 CUC327576:CUC327580 CUC393112:CUC393116 CUC458648:CUC458652 CUC524184:CUC524188 CUC589720:CUC589724 CUC655256:CUC655260 CUC720792:CUC720796 CUC786328:CUC786332 CUC851864:CUC851868 CUC917400:CUC917404 CUC982936:CUC982940 DDY65432:DDY65436 DDY130968:DDY130972 DDY196504:DDY196508 DDY262040:DDY262044 DDY327576:DDY327580 DDY393112:DDY393116 DDY458648:DDY458652 DDY524184:DDY524188 DDY589720:DDY589724 DDY655256:DDY655260 DDY720792:DDY720796 DDY786328:DDY786332 DDY851864:DDY851868 DDY917400:DDY917404 DDY982936:DDY982940 DNU65432:DNU65436 DNU130968:DNU130972 DNU196504:DNU196508 DNU262040:DNU262044 DNU327576:DNU327580 DNU393112:DNU393116 DNU458648:DNU458652 DNU524184:DNU524188 DNU589720:DNU589724 DNU655256:DNU655260 DNU720792:DNU720796 DNU786328:DNU786332 DNU851864:DNU851868 DNU917400:DNU917404 DNU982936:DNU982940 DXQ65432:DXQ65436 DXQ130968:DXQ130972 DXQ196504:DXQ196508 DXQ262040:DXQ262044 DXQ327576:DXQ327580 DXQ393112:DXQ393116 DXQ458648:DXQ458652 DXQ524184:DXQ524188 DXQ589720:DXQ589724 DXQ655256:DXQ655260 DXQ720792:DXQ720796 DXQ786328:DXQ786332 DXQ851864:DXQ851868 DXQ917400:DXQ917404 DXQ982936:DXQ982940 EHM65432:EHM65436 EHM130968:EHM130972 EHM196504:EHM196508 EHM262040:EHM262044 EHM327576:EHM327580 EHM393112:EHM393116 EHM458648:EHM458652 EHM524184:EHM524188 EHM589720:EHM589724 EHM655256:EHM655260 EHM720792:EHM720796 EHM786328:EHM786332 EHM851864:EHM851868 EHM917400:EHM917404 EHM982936:EHM982940 ERI65432:ERI65436 ERI130968:ERI130972 ERI196504:ERI196508 ERI262040:ERI262044 ERI327576:ERI327580 ERI393112:ERI393116 ERI458648:ERI458652 ERI524184:ERI524188 ERI589720:ERI589724 ERI655256:ERI655260 ERI720792:ERI720796 ERI786328:ERI786332 ERI851864:ERI851868 ERI917400:ERI917404 ERI982936:ERI982940 FBE65432:FBE65436 FBE130968:FBE130972 FBE196504:FBE196508 FBE262040:FBE262044 FBE327576:FBE327580 FBE393112:FBE393116 FBE458648:FBE458652 FBE524184:FBE524188 FBE589720:FBE589724 FBE655256:FBE655260 FBE720792:FBE720796 FBE786328:FBE786332 FBE851864:FBE851868 FBE917400:FBE917404 FBE982936:FBE982940 FLA65432:FLA65436 FLA130968:FLA130972 FLA196504:FLA196508 FLA262040:FLA262044 FLA327576:FLA327580 FLA393112:FLA393116 FLA458648:FLA458652 FLA524184:FLA524188 FLA589720:FLA589724 FLA655256:FLA655260 FLA720792:FLA720796 FLA786328:FLA786332 FLA851864:FLA851868 FLA917400:FLA917404 FLA982936:FLA982940 FUW65432:FUW65436 FUW130968:FUW130972 FUW196504:FUW196508 FUW262040:FUW262044 FUW327576:FUW327580 FUW393112:FUW393116 FUW458648:FUW458652 FUW524184:FUW524188 FUW589720:FUW589724 FUW655256:FUW655260 FUW720792:FUW720796 FUW786328:FUW786332 FUW851864:FUW851868 FUW917400:FUW917404 FUW982936:FUW982940 GES65432:GES65436 GES130968:GES130972 GES196504:GES196508 GES262040:GES262044 GES327576:GES327580 GES393112:GES393116 GES458648:GES458652 GES524184:GES524188 GES589720:GES589724 GES655256:GES655260 GES720792:GES720796 GES786328:GES786332 GES851864:GES851868 GES917400:GES917404 GES982936:GES982940 GOO65432:GOO65436 GOO130968:GOO130972 GOO196504:GOO196508 GOO262040:GOO262044 GOO327576:GOO327580 GOO393112:GOO393116 GOO458648:GOO458652 GOO524184:GOO524188 GOO589720:GOO589724 GOO655256:GOO655260 GOO720792:GOO720796 GOO786328:GOO786332 GOO851864:GOO851868 GOO917400:GOO917404 GOO982936:GOO982940 GYK65432:GYK65436 GYK130968:GYK130972 GYK196504:GYK196508 GYK262040:GYK262044 GYK327576:GYK327580 GYK393112:GYK393116 GYK458648:GYK458652 GYK524184:GYK524188 GYK589720:GYK589724 GYK655256:GYK655260 GYK720792:GYK720796 GYK786328:GYK786332 GYK851864:GYK851868 GYK917400:GYK917404 GYK982936:GYK982940 HIG65432:HIG65436 HIG130968:HIG130972 HIG196504:HIG196508 HIG262040:HIG262044 HIG327576:HIG327580 HIG393112:HIG393116 HIG458648:HIG458652 HIG524184:HIG524188 HIG589720:HIG589724 HIG655256:HIG655260 HIG720792:HIG720796 HIG786328:HIG786332 HIG851864:HIG851868 HIG917400:HIG917404 HIG982936:HIG982940 HSC65432:HSC65436 HSC130968:HSC130972 HSC196504:HSC196508 HSC262040:HSC262044 HSC327576:HSC327580 HSC393112:HSC393116 HSC458648:HSC458652 HSC524184:HSC524188 HSC589720:HSC589724 HSC655256:HSC655260 HSC720792:HSC720796 HSC786328:HSC786332 HSC851864:HSC851868 HSC917400:HSC917404 HSC982936:HSC982940 IBY65432:IBY65436 IBY130968:IBY130972 IBY196504:IBY196508 IBY262040:IBY262044 IBY327576:IBY327580 IBY393112:IBY393116 IBY458648:IBY458652 IBY524184:IBY524188 IBY589720:IBY589724 IBY655256:IBY655260 IBY720792:IBY720796 IBY786328:IBY786332 IBY851864:IBY851868 IBY917400:IBY917404 IBY982936:IBY982940 ILU65432:ILU65436 ILU130968:ILU130972 ILU196504:ILU196508 ILU262040:ILU262044 ILU327576:ILU327580 ILU393112:ILU393116 ILU458648:ILU458652 ILU524184:ILU524188 ILU589720:ILU589724 ILU655256:ILU655260 ILU720792:ILU720796 ILU786328:ILU786332 ILU851864:ILU851868 ILU917400:ILU917404 ILU982936:ILU982940 IVQ65432:IVQ65436 IVQ130968:IVQ130972 IVQ196504:IVQ196508 IVQ262040:IVQ262044 IVQ327576:IVQ327580 IVQ393112:IVQ393116 IVQ458648:IVQ458652 IVQ524184:IVQ524188 IVQ589720:IVQ589724 IVQ655256:IVQ655260 IVQ720792:IVQ720796 IVQ786328:IVQ786332 IVQ851864:IVQ851868 IVQ917400:IVQ917404 IVQ982936:IVQ982940 JFM65432:JFM65436 JFM130968:JFM130972 JFM196504:JFM196508 JFM262040:JFM262044 JFM327576:JFM327580 JFM393112:JFM393116 JFM458648:JFM458652 JFM524184:JFM524188 JFM589720:JFM589724 JFM655256:JFM655260 JFM720792:JFM720796 JFM786328:JFM786332 JFM851864:JFM851868 JFM917400:JFM917404 JFM982936:JFM982940 JPI65432:JPI65436 JPI130968:JPI130972 JPI196504:JPI196508 JPI262040:JPI262044 JPI327576:JPI327580 JPI393112:JPI393116 JPI458648:JPI458652 JPI524184:JPI524188 JPI589720:JPI589724 JPI655256:JPI655260 JPI720792:JPI720796 JPI786328:JPI786332 JPI851864:JPI851868 JPI917400:JPI917404 JPI982936:JPI982940 JZE65432:JZE65436 JZE130968:JZE130972 JZE196504:JZE196508 JZE262040:JZE262044 JZE327576:JZE327580 JZE393112:JZE393116 JZE458648:JZE458652 JZE524184:JZE524188 JZE589720:JZE589724 JZE655256:JZE655260 JZE720792:JZE720796 JZE786328:JZE786332 JZE851864:JZE851868 JZE917400:JZE917404 JZE982936:JZE982940 KJA65432:KJA65436 KJA130968:KJA130972 KJA196504:KJA196508 KJA262040:KJA262044 KJA327576:KJA327580 KJA393112:KJA393116 KJA458648:KJA458652 KJA524184:KJA524188 KJA589720:KJA589724 KJA655256:KJA655260 KJA720792:KJA720796 KJA786328:KJA786332 KJA851864:KJA851868 KJA917400:KJA917404 KJA982936:KJA982940 KSW65432:KSW65436 KSW130968:KSW130972 KSW196504:KSW196508 KSW262040:KSW262044 KSW327576:KSW327580 KSW393112:KSW393116 KSW458648:KSW458652 KSW524184:KSW524188 KSW589720:KSW589724 KSW655256:KSW655260 KSW720792:KSW720796 KSW786328:KSW786332 KSW851864:KSW851868 KSW917400:KSW917404 KSW982936:KSW982940 LCS65432:LCS65436 LCS130968:LCS130972 LCS196504:LCS196508 LCS262040:LCS262044 LCS327576:LCS327580 LCS393112:LCS393116 LCS458648:LCS458652 LCS524184:LCS524188 LCS589720:LCS589724 LCS655256:LCS655260 LCS720792:LCS720796 LCS786328:LCS786332 LCS851864:LCS851868 LCS917400:LCS917404 LCS982936:LCS982940 LMO65432:LMO65436 LMO130968:LMO130972 LMO196504:LMO196508 LMO262040:LMO262044 LMO327576:LMO327580 LMO393112:LMO393116 LMO458648:LMO458652 LMO524184:LMO524188 LMO589720:LMO589724 LMO655256:LMO655260 LMO720792:LMO720796 LMO786328:LMO786332 LMO851864:LMO851868 LMO917400:LMO917404 LMO982936:LMO982940 LWK65432:LWK65436 LWK130968:LWK130972 LWK196504:LWK196508 LWK262040:LWK262044 LWK327576:LWK327580 LWK393112:LWK393116 LWK458648:LWK458652 LWK524184:LWK524188 LWK589720:LWK589724 LWK655256:LWK655260 LWK720792:LWK720796 LWK786328:LWK786332 LWK851864:LWK851868 LWK917400:LWK917404 LWK982936:LWK982940 MGG65432:MGG65436 MGG130968:MGG130972 MGG196504:MGG196508 MGG262040:MGG262044 MGG327576:MGG327580 MGG393112:MGG393116 MGG458648:MGG458652 MGG524184:MGG524188 MGG589720:MGG589724 MGG655256:MGG655260 MGG720792:MGG720796 MGG786328:MGG786332 MGG851864:MGG851868 MGG917400:MGG917404 MGG982936:MGG982940 MQC65432:MQC65436 MQC130968:MQC130972 MQC196504:MQC196508 MQC262040:MQC262044 MQC327576:MQC327580 MQC393112:MQC393116 MQC458648:MQC458652 MQC524184:MQC524188 MQC589720:MQC589724 MQC655256:MQC655260 MQC720792:MQC720796 MQC786328:MQC786332 MQC851864:MQC851868 MQC917400:MQC917404 MQC982936:MQC982940 MZY65432:MZY65436 MZY130968:MZY130972 MZY196504:MZY196508 MZY262040:MZY262044 MZY327576:MZY327580 MZY393112:MZY393116 MZY458648:MZY458652 MZY524184:MZY524188 MZY589720:MZY589724 MZY655256:MZY655260 MZY720792:MZY720796 MZY786328:MZY786332 MZY851864:MZY851868 MZY917400:MZY917404 MZY982936:MZY982940 NJU65432:NJU65436 NJU130968:NJU130972 NJU196504:NJU196508 NJU262040:NJU262044 NJU327576:NJU327580 NJU393112:NJU393116 NJU458648:NJU458652 NJU524184:NJU524188 NJU589720:NJU589724 NJU655256:NJU655260 NJU720792:NJU720796 NJU786328:NJU786332 NJU851864:NJU851868 NJU917400:NJU917404 NJU982936:NJU982940 NTQ65432:NTQ65436 NTQ130968:NTQ130972 NTQ196504:NTQ196508 NTQ262040:NTQ262044 NTQ327576:NTQ327580 NTQ393112:NTQ393116 NTQ458648:NTQ458652 NTQ524184:NTQ524188 NTQ589720:NTQ589724 NTQ655256:NTQ655260 NTQ720792:NTQ720796 NTQ786328:NTQ786332 NTQ851864:NTQ851868 NTQ917400:NTQ917404 NTQ982936:NTQ982940 ODM65432:ODM65436 ODM130968:ODM130972 ODM196504:ODM196508 ODM262040:ODM262044 ODM327576:ODM327580 ODM393112:ODM393116 ODM458648:ODM458652 ODM524184:ODM524188 ODM589720:ODM589724 ODM655256:ODM655260 ODM720792:ODM720796 ODM786328:ODM786332 ODM851864:ODM851868 ODM917400:ODM917404 ODM982936:ODM982940 ONI65432:ONI65436 ONI130968:ONI130972 ONI196504:ONI196508 ONI262040:ONI262044 ONI327576:ONI327580 ONI393112:ONI393116 ONI458648:ONI458652 ONI524184:ONI524188 ONI589720:ONI589724 ONI655256:ONI655260 ONI720792:ONI720796 ONI786328:ONI786332 ONI851864:ONI851868 ONI917400:ONI917404 ONI982936:ONI982940 OXE65432:OXE65436 OXE130968:OXE130972 OXE196504:OXE196508 OXE262040:OXE262044 OXE327576:OXE327580 OXE393112:OXE393116 OXE458648:OXE458652 OXE524184:OXE524188 OXE589720:OXE589724 OXE655256:OXE655260 OXE720792:OXE720796 OXE786328:OXE786332 OXE851864:OXE851868 OXE917400:OXE917404 OXE982936:OXE982940 PHA65432:PHA65436 PHA130968:PHA130972 PHA196504:PHA196508 PHA262040:PHA262044 PHA327576:PHA327580 PHA393112:PHA393116 PHA458648:PHA458652 PHA524184:PHA524188 PHA589720:PHA589724 PHA655256:PHA655260 PHA720792:PHA720796 PHA786328:PHA786332 PHA851864:PHA851868 PHA917400:PHA917404 PHA982936:PHA982940 PQW65432:PQW65436 PQW130968:PQW130972 PQW196504:PQW196508 PQW262040:PQW262044 PQW327576:PQW327580 PQW393112:PQW393116 PQW458648:PQW458652 PQW524184:PQW524188 PQW589720:PQW589724 PQW655256:PQW655260 PQW720792:PQW720796 PQW786328:PQW786332 PQW851864:PQW851868 PQW917400:PQW917404 PQW982936:PQW982940 QAS65432:QAS65436 QAS130968:QAS130972 QAS196504:QAS196508 QAS262040:QAS262044 QAS327576:QAS327580 QAS393112:QAS393116 QAS458648:QAS458652 QAS524184:QAS524188 QAS589720:QAS589724 QAS655256:QAS655260 QAS720792:QAS720796 QAS786328:QAS786332 QAS851864:QAS851868 QAS917400:QAS917404 QAS982936:QAS982940 QKO65432:QKO65436 QKO130968:QKO130972 QKO196504:QKO196508 QKO262040:QKO262044 QKO327576:QKO327580 QKO393112:QKO393116 QKO458648:QKO458652 QKO524184:QKO524188 QKO589720:QKO589724 QKO655256:QKO655260 QKO720792:QKO720796 QKO786328:QKO786332 QKO851864:QKO851868 QKO917400:QKO917404 QKO982936:QKO982940 QUK65432:QUK65436 QUK130968:QUK130972 QUK196504:QUK196508 QUK262040:QUK262044 QUK327576:QUK327580 QUK393112:QUK393116 QUK458648:QUK458652 QUK524184:QUK524188 QUK589720:QUK589724 QUK655256:QUK655260 QUK720792:QUK720796 QUK786328:QUK786332 QUK851864:QUK851868 QUK917400:QUK917404 QUK982936:QUK982940 REG65432:REG65436 REG130968:REG130972 REG196504:REG196508 REG262040:REG262044 REG327576:REG327580 REG393112:REG393116 REG458648:REG458652 REG524184:REG524188 REG589720:REG589724 REG655256:REG655260 REG720792:REG720796 REG786328:REG786332 REG851864:REG851868 REG917400:REG917404 REG982936:REG982940 ROC65432:ROC65436 ROC130968:ROC130972 ROC196504:ROC196508 ROC262040:ROC262044 ROC327576:ROC327580 ROC393112:ROC393116 ROC458648:ROC458652 ROC524184:ROC524188 ROC589720:ROC589724 ROC655256:ROC655260 ROC720792:ROC720796 ROC786328:ROC786332 ROC851864:ROC851868 ROC917400:ROC917404 ROC982936:ROC982940 RXY65432:RXY65436 RXY130968:RXY130972 RXY196504:RXY196508 RXY262040:RXY262044 RXY327576:RXY327580 RXY393112:RXY393116 RXY458648:RXY458652 RXY524184:RXY524188 RXY589720:RXY589724 RXY655256:RXY655260 RXY720792:RXY720796 RXY786328:RXY786332 RXY851864:RXY851868 RXY917400:RXY917404 RXY982936:RXY982940 SHU65432:SHU65436 SHU130968:SHU130972 SHU196504:SHU196508 SHU262040:SHU262044 SHU327576:SHU327580 SHU393112:SHU393116 SHU458648:SHU458652 SHU524184:SHU524188 SHU589720:SHU589724 SHU655256:SHU655260 SHU720792:SHU720796 SHU786328:SHU786332 SHU851864:SHU851868 SHU917400:SHU917404 SHU982936:SHU982940 SRQ65432:SRQ65436 SRQ130968:SRQ130972 SRQ196504:SRQ196508 SRQ262040:SRQ262044 SRQ327576:SRQ327580 SRQ393112:SRQ393116 SRQ458648:SRQ458652 SRQ524184:SRQ524188 SRQ589720:SRQ589724 SRQ655256:SRQ655260 SRQ720792:SRQ720796 SRQ786328:SRQ786332 SRQ851864:SRQ851868 SRQ917400:SRQ917404 SRQ982936:SRQ982940 TBM65432:TBM65436 TBM130968:TBM130972 TBM196504:TBM196508 TBM262040:TBM262044 TBM327576:TBM327580 TBM393112:TBM393116 TBM458648:TBM458652 TBM524184:TBM524188 TBM589720:TBM589724 TBM655256:TBM655260 TBM720792:TBM720796 TBM786328:TBM786332 TBM851864:TBM851868 TBM917400:TBM917404 TBM982936:TBM982940 TLI65432:TLI65436 TLI130968:TLI130972 TLI196504:TLI196508 TLI262040:TLI262044 TLI327576:TLI327580 TLI393112:TLI393116 TLI458648:TLI458652 TLI524184:TLI524188 TLI589720:TLI589724 TLI655256:TLI655260 TLI720792:TLI720796 TLI786328:TLI786332 TLI851864:TLI851868 TLI917400:TLI917404 TLI982936:TLI982940 TVE65432:TVE65436 TVE130968:TVE130972 TVE196504:TVE196508 TVE262040:TVE262044 TVE327576:TVE327580 TVE393112:TVE393116 TVE458648:TVE458652 TVE524184:TVE524188 TVE589720:TVE589724 TVE655256:TVE655260 TVE720792:TVE720796 TVE786328:TVE786332 TVE851864:TVE851868 TVE917400:TVE917404 TVE982936:TVE982940 UFA65432:UFA65436 UFA130968:UFA130972 UFA196504:UFA196508 UFA262040:UFA262044 UFA327576:UFA327580 UFA393112:UFA393116 UFA458648:UFA458652 UFA524184:UFA524188 UFA589720:UFA589724 UFA655256:UFA655260 UFA720792:UFA720796 UFA786328:UFA786332 UFA851864:UFA851868 UFA917400:UFA917404 UFA982936:UFA982940 UOW65432:UOW65436 UOW130968:UOW130972 UOW196504:UOW196508 UOW262040:UOW262044 UOW327576:UOW327580 UOW393112:UOW393116 UOW458648:UOW458652 UOW524184:UOW524188 UOW589720:UOW589724 UOW655256:UOW655260 UOW720792:UOW720796 UOW786328:UOW786332 UOW851864:UOW851868 UOW917400:UOW917404 UOW982936:UOW982940 UYS65432:UYS65436 UYS130968:UYS130972 UYS196504:UYS196508 UYS262040:UYS262044 UYS327576:UYS327580 UYS393112:UYS393116 UYS458648:UYS458652 UYS524184:UYS524188 UYS589720:UYS589724 UYS655256:UYS655260 UYS720792:UYS720796 UYS786328:UYS786332 UYS851864:UYS851868 UYS917400:UYS917404 UYS982936:UYS982940 VIO65432:VIO65436 VIO130968:VIO130972 VIO196504:VIO196508 VIO262040:VIO262044 VIO327576:VIO327580 VIO393112:VIO393116 VIO458648:VIO458652 VIO524184:VIO524188 VIO589720:VIO589724 VIO655256:VIO655260 VIO720792:VIO720796 VIO786328:VIO786332 VIO851864:VIO851868 VIO917400:VIO917404 VIO982936:VIO982940 VSK65432:VSK65436 VSK130968:VSK130972 VSK196504:VSK196508 VSK262040:VSK262044 VSK327576:VSK327580 VSK393112:VSK393116 VSK458648:VSK458652 VSK524184:VSK524188 VSK589720:VSK589724 VSK655256:VSK655260 VSK720792:VSK720796 VSK786328:VSK786332 VSK851864:VSK851868 VSK917400:VSK917404 VSK982936:VSK982940 WCG65432:WCG65436 WCG130968:WCG130972 WCG196504:WCG196508 WCG262040:WCG262044 WCG327576:WCG327580 WCG393112:WCG393116 WCG458648:WCG458652 WCG524184:WCG524188 WCG589720:WCG589724 WCG655256:WCG655260 WCG720792:WCG720796 WCG786328:WCG786332 WCG851864:WCG851868 WCG917400:WCG917404 WCG982936:WCG982940 WMC65432:WMC65436 WMC130968:WMC130972 WMC196504:WMC196508 WMC262040:WMC262044 WMC327576:WMC327580 WMC393112:WMC393116 WMC458648:WMC458652 WMC524184:WMC524188 WMC589720:WMC589724 WMC655256:WMC655260 WMC720792:WMC720796 WMC786328:WMC786332 WMC851864:WMC851868 WMC917400:WMC917404 WMC982936:WMC982940 WVY65432:WVY65436 WVY130968:WVY130972 WVY196504:WVY196508 WVY262040:WVY262044 WVY327576:WVY327580 WVY393112:WVY393116 WVY458648:WVY458652 WVY524184:WVY524188 WVY589720:WVY589724 WVY655256:WVY655260 WVY720792:WVY720796 WVY786328:WVY786332 WVY851864:WVY851868 WVY917400:WVY917404 WVY982936:WVY982940">
      <formula1>"功能测试,安全测试"</formula1>
    </dataValidation>
  </dataValidations>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5"/>
  <sheetViews>
    <sheetView topLeftCell="A73" workbookViewId="0">
      <selection activeCell="I96" sqref="I96"/>
    </sheetView>
  </sheetViews>
  <sheetFormatPr defaultColWidth="9" defaultRowHeight="15.6" outlineLevelCol="1"/>
  <cols>
    <col min="1" max="1" width="28.0925925925926" style="12" customWidth="1"/>
    <col min="2" max="256" width="9" style="12"/>
    <col min="257" max="257" width="28.0925925925926" style="12" customWidth="1"/>
    <col min="258" max="512" width="9" style="12"/>
    <col min="513" max="513" width="28.0925925925926" style="12" customWidth="1"/>
    <col min="514" max="768" width="9" style="12"/>
    <col min="769" max="769" width="28.0925925925926" style="12" customWidth="1"/>
    <col min="770" max="1024" width="9" style="12"/>
    <col min="1025" max="1025" width="28.0925925925926" style="12" customWidth="1"/>
    <col min="1026" max="1280" width="9" style="12"/>
    <col min="1281" max="1281" width="28.0925925925926" style="12" customWidth="1"/>
    <col min="1282" max="1536" width="9" style="12"/>
    <col min="1537" max="1537" width="28.0925925925926" style="12" customWidth="1"/>
    <col min="1538" max="1792" width="9" style="12"/>
    <col min="1793" max="1793" width="28.0925925925926" style="12" customWidth="1"/>
    <col min="1794" max="2048" width="9" style="12"/>
    <col min="2049" max="2049" width="28.0925925925926" style="12" customWidth="1"/>
    <col min="2050" max="2304" width="9" style="12"/>
    <col min="2305" max="2305" width="28.0925925925926" style="12" customWidth="1"/>
    <col min="2306" max="2560" width="9" style="12"/>
    <col min="2561" max="2561" width="28.0925925925926" style="12" customWidth="1"/>
    <col min="2562" max="2816" width="9" style="12"/>
    <col min="2817" max="2817" width="28.0925925925926" style="12" customWidth="1"/>
    <col min="2818" max="3072" width="9" style="12"/>
    <col min="3073" max="3073" width="28.0925925925926" style="12" customWidth="1"/>
    <col min="3074" max="3328" width="9" style="12"/>
    <col min="3329" max="3329" width="28.0925925925926" style="12" customWidth="1"/>
    <col min="3330" max="3584" width="9" style="12"/>
    <col min="3585" max="3585" width="28.0925925925926" style="12" customWidth="1"/>
    <col min="3586" max="3840" width="9" style="12"/>
    <col min="3841" max="3841" width="28.0925925925926" style="12" customWidth="1"/>
    <col min="3842" max="4096" width="9" style="12"/>
    <col min="4097" max="4097" width="28.0925925925926" style="12" customWidth="1"/>
    <col min="4098" max="4352" width="9" style="12"/>
    <col min="4353" max="4353" width="28.0925925925926" style="12" customWidth="1"/>
    <col min="4354" max="4608" width="9" style="12"/>
    <col min="4609" max="4609" width="28.0925925925926" style="12" customWidth="1"/>
    <col min="4610" max="4864" width="9" style="12"/>
    <col min="4865" max="4865" width="28.0925925925926" style="12" customWidth="1"/>
    <col min="4866" max="5120" width="9" style="12"/>
    <col min="5121" max="5121" width="28.0925925925926" style="12" customWidth="1"/>
    <col min="5122" max="5376" width="9" style="12"/>
    <col min="5377" max="5377" width="28.0925925925926" style="12" customWidth="1"/>
    <col min="5378" max="5632" width="9" style="12"/>
    <col min="5633" max="5633" width="28.0925925925926" style="12" customWidth="1"/>
    <col min="5634" max="5888" width="9" style="12"/>
    <col min="5889" max="5889" width="28.0925925925926" style="12" customWidth="1"/>
    <col min="5890" max="6144" width="9" style="12"/>
    <col min="6145" max="6145" width="28.0925925925926" style="12" customWidth="1"/>
    <col min="6146" max="6400" width="9" style="12"/>
    <col min="6401" max="6401" width="28.0925925925926" style="12" customWidth="1"/>
    <col min="6402" max="6656" width="9" style="12"/>
    <col min="6657" max="6657" width="28.0925925925926" style="12" customWidth="1"/>
    <col min="6658" max="6912" width="9" style="12"/>
    <col min="6913" max="6913" width="28.0925925925926" style="12" customWidth="1"/>
    <col min="6914" max="7168" width="9" style="12"/>
    <col min="7169" max="7169" width="28.0925925925926" style="12" customWidth="1"/>
    <col min="7170" max="7424" width="9" style="12"/>
    <col min="7425" max="7425" width="28.0925925925926" style="12" customWidth="1"/>
    <col min="7426" max="7680" width="9" style="12"/>
    <col min="7681" max="7681" width="28.0925925925926" style="12" customWidth="1"/>
    <col min="7682" max="7936" width="9" style="12"/>
    <col min="7937" max="7937" width="28.0925925925926" style="12" customWidth="1"/>
    <col min="7938" max="8192" width="9" style="12"/>
    <col min="8193" max="8193" width="28.0925925925926" style="12" customWidth="1"/>
    <col min="8194" max="8448" width="9" style="12"/>
    <col min="8449" max="8449" width="28.0925925925926" style="12" customWidth="1"/>
    <col min="8450" max="8704" width="9" style="12"/>
    <col min="8705" max="8705" width="28.0925925925926" style="12" customWidth="1"/>
    <col min="8706" max="8960" width="9" style="12"/>
    <col min="8961" max="8961" width="28.0925925925926" style="12" customWidth="1"/>
    <col min="8962" max="9216" width="9" style="12"/>
    <col min="9217" max="9217" width="28.0925925925926" style="12" customWidth="1"/>
    <col min="9218" max="9472" width="9" style="12"/>
    <col min="9473" max="9473" width="28.0925925925926" style="12" customWidth="1"/>
    <col min="9474" max="9728" width="9" style="12"/>
    <col min="9729" max="9729" width="28.0925925925926" style="12" customWidth="1"/>
    <col min="9730" max="9984" width="9" style="12"/>
    <col min="9985" max="9985" width="28.0925925925926" style="12" customWidth="1"/>
    <col min="9986" max="10240" width="9" style="12"/>
    <col min="10241" max="10241" width="28.0925925925926" style="12" customWidth="1"/>
    <col min="10242" max="10496" width="9" style="12"/>
    <col min="10497" max="10497" width="28.0925925925926" style="12" customWidth="1"/>
    <col min="10498" max="10752" width="9" style="12"/>
    <col min="10753" max="10753" width="28.0925925925926" style="12" customWidth="1"/>
    <col min="10754" max="11008" width="9" style="12"/>
    <col min="11009" max="11009" width="28.0925925925926" style="12" customWidth="1"/>
    <col min="11010" max="11264" width="9" style="12"/>
    <col min="11265" max="11265" width="28.0925925925926" style="12" customWidth="1"/>
    <col min="11266" max="11520" width="9" style="12"/>
    <col min="11521" max="11521" width="28.0925925925926" style="12" customWidth="1"/>
    <col min="11522" max="11776" width="9" style="12"/>
    <col min="11777" max="11777" width="28.0925925925926" style="12" customWidth="1"/>
    <col min="11778" max="12032" width="9" style="12"/>
    <col min="12033" max="12033" width="28.0925925925926" style="12" customWidth="1"/>
    <col min="12034" max="12288" width="9" style="12"/>
    <col min="12289" max="12289" width="28.0925925925926" style="12" customWidth="1"/>
    <col min="12290" max="12544" width="9" style="12"/>
    <col min="12545" max="12545" width="28.0925925925926" style="12" customWidth="1"/>
    <col min="12546" max="12800" width="9" style="12"/>
    <col min="12801" max="12801" width="28.0925925925926" style="12" customWidth="1"/>
    <col min="12802" max="13056" width="9" style="12"/>
    <col min="13057" max="13057" width="28.0925925925926" style="12" customWidth="1"/>
    <col min="13058" max="13312" width="9" style="12"/>
    <col min="13313" max="13313" width="28.0925925925926" style="12" customWidth="1"/>
    <col min="13314" max="13568" width="9" style="12"/>
    <col min="13569" max="13569" width="28.0925925925926" style="12" customWidth="1"/>
    <col min="13570" max="13824" width="9" style="12"/>
    <col min="13825" max="13825" width="28.0925925925926" style="12" customWidth="1"/>
    <col min="13826" max="14080" width="9" style="12"/>
    <col min="14081" max="14081" width="28.0925925925926" style="12" customWidth="1"/>
    <col min="14082" max="14336" width="9" style="12"/>
    <col min="14337" max="14337" width="28.0925925925926" style="12" customWidth="1"/>
    <col min="14338" max="14592" width="9" style="12"/>
    <col min="14593" max="14593" width="28.0925925925926" style="12" customWidth="1"/>
    <col min="14594" max="14848" width="9" style="12"/>
    <col min="14849" max="14849" width="28.0925925925926" style="12" customWidth="1"/>
    <col min="14850" max="15104" width="9" style="12"/>
    <col min="15105" max="15105" width="28.0925925925926" style="12" customWidth="1"/>
    <col min="15106" max="15360" width="9" style="12"/>
    <col min="15361" max="15361" width="28.0925925925926" style="12" customWidth="1"/>
    <col min="15362" max="15616" width="9" style="12"/>
    <col min="15617" max="15617" width="28.0925925925926" style="12" customWidth="1"/>
    <col min="15618" max="15872" width="9" style="12"/>
    <col min="15873" max="15873" width="28.0925925925926" style="12" customWidth="1"/>
    <col min="15874" max="16128" width="9" style="12"/>
    <col min="16129" max="16129" width="28.0925925925926" style="12" customWidth="1"/>
    <col min="16130" max="16384" width="9" style="12"/>
  </cols>
  <sheetData>
    <row r="1" spans="1:1">
      <c r="A1" s="13" t="s">
        <v>96</v>
      </c>
    </row>
    <row r="2" spans="1:1">
      <c r="A2" s="14" t="s">
        <v>97</v>
      </c>
    </row>
    <row r="3" spans="1:1">
      <c r="A3" s="14" t="s">
        <v>98</v>
      </c>
    </row>
    <row r="4" spans="1:1">
      <c r="A4" s="14" t="s">
        <v>99</v>
      </c>
    </row>
    <row r="5" spans="1:1">
      <c r="A5" s="14" t="s">
        <v>100</v>
      </c>
    </row>
    <row r="6" spans="1:1">
      <c r="A6" s="14" t="s">
        <v>101</v>
      </c>
    </row>
    <row r="7" spans="1:1">
      <c r="A7" s="14" t="s">
        <v>102</v>
      </c>
    </row>
    <row r="8" spans="1:1">
      <c r="A8" s="14" t="s">
        <v>103</v>
      </c>
    </row>
    <row r="9" spans="1:1">
      <c r="A9" s="14" t="s">
        <v>104</v>
      </c>
    </row>
    <row r="10" spans="1:1">
      <c r="A10" s="15" t="s">
        <v>105</v>
      </c>
    </row>
    <row r="11" spans="1:1">
      <c r="A11" s="15" t="s">
        <v>106</v>
      </c>
    </row>
    <row r="12" spans="1:1">
      <c r="A12" s="15" t="s">
        <v>107</v>
      </c>
    </row>
    <row r="13" spans="1:1">
      <c r="A13" s="15" t="s">
        <v>108</v>
      </c>
    </row>
    <row r="14" spans="1:1">
      <c r="A14" s="15" t="s">
        <v>109</v>
      </c>
    </row>
    <row r="15" spans="1:1">
      <c r="A15" s="15" t="s">
        <v>110</v>
      </c>
    </row>
    <row r="16" spans="1:1">
      <c r="A16" s="15" t="s">
        <v>111</v>
      </c>
    </row>
    <row r="17" spans="1:1">
      <c r="A17" s="15" t="s">
        <v>112</v>
      </c>
    </row>
    <row r="18" spans="1:1">
      <c r="A18" s="15" t="s">
        <v>113</v>
      </c>
    </row>
    <row r="20" spans="1:1">
      <c r="A20" s="13" t="s">
        <v>114</v>
      </c>
    </row>
    <row r="21" spans="1:1">
      <c r="A21" s="14" t="s">
        <v>115</v>
      </c>
    </row>
    <row r="22" spans="1:1">
      <c r="A22" s="15" t="s">
        <v>116</v>
      </c>
    </row>
    <row r="23" spans="1:1">
      <c r="A23" s="15" t="s">
        <v>117</v>
      </c>
    </row>
    <row r="25" spans="1:1">
      <c r="A25" s="14" t="s">
        <v>118</v>
      </c>
    </row>
    <row r="26" spans="1:1">
      <c r="A26" s="15" t="s">
        <v>119</v>
      </c>
    </row>
    <row r="27" spans="1:1">
      <c r="A27" s="15" t="s">
        <v>120</v>
      </c>
    </row>
    <row r="28" spans="1:1">
      <c r="A28" s="15" t="s">
        <v>121</v>
      </c>
    </row>
    <row r="29" spans="1:1">
      <c r="A29" s="15" t="s">
        <v>122</v>
      </c>
    </row>
    <row r="30" spans="1:1">
      <c r="A30" s="15" t="s">
        <v>123</v>
      </c>
    </row>
    <row r="31" spans="1:1">
      <c r="A31" s="15" t="s">
        <v>124</v>
      </c>
    </row>
    <row r="33" spans="1:1">
      <c r="A33" s="14" t="s">
        <v>125</v>
      </c>
    </row>
    <row r="34" spans="1:1">
      <c r="A34" s="15" t="s">
        <v>126</v>
      </c>
    </row>
    <row r="35" spans="1:1">
      <c r="A35" s="15"/>
    </row>
    <row r="36" spans="1:1">
      <c r="A36" s="14" t="s">
        <v>127</v>
      </c>
    </row>
    <row r="37" spans="1:1">
      <c r="A37" s="15" t="s">
        <v>128</v>
      </c>
    </row>
    <row r="38" spans="1:1">
      <c r="A38" s="15" t="s">
        <v>129</v>
      </c>
    </row>
    <row r="39" spans="1:1">
      <c r="A39" s="15"/>
    </row>
    <row r="40" spans="1:1">
      <c r="A40" s="14" t="s">
        <v>130</v>
      </c>
    </row>
    <row r="41" spans="1:1">
      <c r="A41" s="15" t="s">
        <v>131</v>
      </c>
    </row>
    <row r="42" spans="1:1">
      <c r="A42" s="15" t="s">
        <v>132</v>
      </c>
    </row>
    <row r="43" spans="1:1">
      <c r="A43" s="15" t="s">
        <v>133</v>
      </c>
    </row>
    <row r="44" spans="1:1">
      <c r="A44" s="15" t="s">
        <v>134</v>
      </c>
    </row>
    <row r="45" spans="1:1">
      <c r="A45" s="15" t="s">
        <v>135</v>
      </c>
    </row>
    <row r="46" spans="1:1">
      <c r="A46" s="15"/>
    </row>
    <row r="47" spans="1:1">
      <c r="A47" s="14" t="s">
        <v>136</v>
      </c>
    </row>
    <row r="48" spans="1:1">
      <c r="A48" s="15" t="s">
        <v>137</v>
      </c>
    </row>
    <row r="49" spans="1:1">
      <c r="A49" s="15" t="s">
        <v>138</v>
      </c>
    </row>
    <row r="50" spans="1:1">
      <c r="A50" s="15"/>
    </row>
    <row r="51" spans="1:1">
      <c r="A51" s="14" t="s">
        <v>139</v>
      </c>
    </row>
    <row r="52" spans="1:1">
      <c r="A52" s="15" t="s">
        <v>140</v>
      </c>
    </row>
    <row r="53" spans="1:1">
      <c r="A53" s="15" t="s">
        <v>141</v>
      </c>
    </row>
    <row r="54" spans="1:1">
      <c r="A54" s="15" t="s">
        <v>142</v>
      </c>
    </row>
    <row r="55" spans="1:1">
      <c r="A55" s="15"/>
    </row>
    <row r="56" spans="1:1">
      <c r="A56" s="14" t="s">
        <v>143</v>
      </c>
    </row>
    <row r="57" spans="1:1">
      <c r="A57" s="15" t="s">
        <v>144</v>
      </c>
    </row>
    <row r="58" spans="1:1">
      <c r="A58" s="15" t="s">
        <v>145</v>
      </c>
    </row>
    <row r="59" spans="1:1">
      <c r="A59" s="15" t="s">
        <v>146</v>
      </c>
    </row>
    <row r="62" spans="1:1">
      <c r="A62" s="13" t="s">
        <v>147</v>
      </c>
    </row>
    <row r="63" spans="1:1">
      <c r="A63" s="16" t="s">
        <v>148</v>
      </c>
    </row>
    <row r="64" spans="1:1">
      <c r="A64" s="15" t="s">
        <v>149</v>
      </c>
    </row>
    <row r="65" spans="1:1">
      <c r="A65" s="15"/>
    </row>
    <row r="66" spans="1:1">
      <c r="A66" s="16" t="s">
        <v>150</v>
      </c>
    </row>
    <row r="67" spans="1:2">
      <c r="A67" s="15" t="s">
        <v>151</v>
      </c>
      <c r="B67" s="17"/>
    </row>
    <row r="68" spans="1:1">
      <c r="A68" s="18"/>
    </row>
    <row r="69" spans="1:1">
      <c r="A69" s="16" t="s">
        <v>152</v>
      </c>
    </row>
    <row r="70" spans="1:1">
      <c r="A70" s="19" t="s">
        <v>153</v>
      </c>
    </row>
    <row r="71" spans="1:1">
      <c r="A71" s="18"/>
    </row>
    <row r="72" spans="1:1">
      <c r="A72" s="16" t="s">
        <v>154</v>
      </c>
    </row>
    <row r="73" spans="1:1">
      <c r="A73" s="19" t="s">
        <v>155</v>
      </c>
    </row>
    <row r="74" spans="1:1">
      <c r="A74" s="19" t="s">
        <v>156</v>
      </c>
    </row>
    <row r="75" spans="1:1">
      <c r="A75" s="19" t="s">
        <v>157</v>
      </c>
    </row>
    <row r="76" spans="1:1">
      <c r="A76" s="19" t="s">
        <v>158</v>
      </c>
    </row>
    <row r="77" spans="1:1">
      <c r="A77" s="19" t="s">
        <v>159</v>
      </c>
    </row>
    <row r="78" spans="1:1">
      <c r="A78" s="18"/>
    </row>
    <row r="79" spans="1:1">
      <c r="A79" s="16" t="s">
        <v>160</v>
      </c>
    </row>
    <row r="80" spans="1:1">
      <c r="A80" s="19" t="s">
        <v>161</v>
      </c>
    </row>
    <row r="81" spans="1:1">
      <c r="A81" s="18"/>
    </row>
    <row r="82" spans="1:1">
      <c r="A82" s="16" t="s">
        <v>162</v>
      </c>
    </row>
    <row r="83" spans="1:1">
      <c r="A83" s="19" t="s">
        <v>163</v>
      </c>
    </row>
    <row r="84" spans="1:1">
      <c r="A84" s="18"/>
    </row>
    <row r="85" spans="1:1">
      <c r="A85" s="16" t="s">
        <v>164</v>
      </c>
    </row>
    <row r="86" spans="1:1">
      <c r="A86" s="19" t="s">
        <v>165</v>
      </c>
    </row>
    <row r="87" spans="1:1">
      <c r="A87" s="18"/>
    </row>
    <row r="88" spans="1:1">
      <c r="A88" s="16" t="s">
        <v>166</v>
      </c>
    </row>
    <row r="89" spans="1:1">
      <c r="A89" s="19" t="s">
        <v>167</v>
      </c>
    </row>
    <row r="90" spans="1:1">
      <c r="A90" s="15"/>
    </row>
    <row r="91" spans="1:1">
      <c r="A91" s="14" t="s">
        <v>168</v>
      </c>
    </row>
    <row r="92" spans="1:1">
      <c r="A92" s="19" t="s">
        <v>169</v>
      </c>
    </row>
    <row r="93" spans="1:1">
      <c r="A93" s="19" t="s">
        <v>170</v>
      </c>
    </row>
    <row r="94" spans="1:1">
      <c r="A94" s="19"/>
    </row>
    <row r="95" spans="1:1">
      <c r="A95" s="19"/>
    </row>
    <row r="96" spans="1:1">
      <c r="A96" s="20" t="s">
        <v>171</v>
      </c>
    </row>
    <row r="97" spans="1:1">
      <c r="A97" s="19" t="s">
        <v>172</v>
      </c>
    </row>
    <row r="98" spans="1:1">
      <c r="A98" s="19"/>
    </row>
    <row r="99" spans="1:1">
      <c r="A99" s="20" t="s">
        <v>173</v>
      </c>
    </row>
    <row r="100" spans="1:1">
      <c r="A100" s="19" t="s">
        <v>174</v>
      </c>
    </row>
    <row r="101" spans="1:1">
      <c r="A101" s="19"/>
    </row>
    <row r="102" spans="1:1">
      <c r="A102" s="20" t="s">
        <v>175</v>
      </c>
    </row>
    <row r="103" spans="1:1">
      <c r="A103" s="21" t="s">
        <v>176</v>
      </c>
    </row>
    <row r="104" spans="1:1">
      <c r="A104" s="22"/>
    </row>
    <row r="105" spans="1:1">
      <c r="A105" s="22"/>
    </row>
    <row r="106" spans="1:1">
      <c r="A106" s="22"/>
    </row>
    <row r="107" spans="1:1">
      <c r="A107" s="22"/>
    </row>
    <row r="108" spans="1:1">
      <c r="A108" s="22"/>
    </row>
    <row r="109" spans="1:1">
      <c r="A109" s="22"/>
    </row>
    <row r="110" spans="1:1">
      <c r="A110" s="22"/>
    </row>
    <row r="111" spans="1:1">
      <c r="A111" s="22"/>
    </row>
    <row r="112" spans="1:1">
      <c r="A112" s="22"/>
    </row>
    <row r="113" spans="1:1">
      <c r="A113" s="22"/>
    </row>
    <row r="114" spans="1:1">
      <c r="A114" s="22"/>
    </row>
    <row r="115" spans="1:1">
      <c r="A115" s="22"/>
    </row>
    <row r="116" spans="1:1">
      <c r="A116" s="22"/>
    </row>
    <row r="117" spans="1:1">
      <c r="A117" s="22"/>
    </row>
    <row r="118" spans="1:1">
      <c r="A118" s="22"/>
    </row>
    <row r="119" spans="1:1">
      <c r="A119" s="22"/>
    </row>
    <row r="120" spans="1:1">
      <c r="A120" s="22"/>
    </row>
    <row r="121" spans="1:1">
      <c r="A121" s="22"/>
    </row>
    <row r="122" spans="1:1">
      <c r="A122" s="22"/>
    </row>
    <row r="123" spans="1:1">
      <c r="A123" s="22"/>
    </row>
    <row r="124" spans="1:1">
      <c r="A124" s="22"/>
    </row>
    <row r="125" spans="1:1">
      <c r="A125" s="22"/>
    </row>
    <row r="126" spans="1:1">
      <c r="A126" s="22"/>
    </row>
    <row r="127" spans="1:1">
      <c r="A127" s="22"/>
    </row>
    <row r="128" spans="1:1">
      <c r="A128" s="22"/>
    </row>
    <row r="129" spans="1:1">
      <c r="A129" s="22"/>
    </row>
    <row r="130" spans="1:1">
      <c r="A130" s="22"/>
    </row>
    <row r="131" spans="1:1">
      <c r="A131" s="22"/>
    </row>
    <row r="132" spans="1:1">
      <c r="A132" s="22"/>
    </row>
    <row r="133" spans="1:1">
      <c r="A133" s="22"/>
    </row>
    <row r="134" spans="1:1">
      <c r="A134" s="22"/>
    </row>
    <row r="135" spans="1:1">
      <c r="A135" s="22"/>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workbookViewId="0">
      <selection activeCell="I8" sqref="I8"/>
    </sheetView>
  </sheetViews>
  <sheetFormatPr defaultColWidth="9" defaultRowHeight="13.2" outlineLevelCol="3"/>
  <cols>
    <col min="1" max="1" width="14" style="1" customWidth="1"/>
    <col min="2" max="2" width="51.6296296296296" style="1" customWidth="1"/>
    <col min="3" max="7" width="9" style="1"/>
    <col min="8" max="8" width="14.2685185185185" style="1" customWidth="1"/>
    <col min="9" max="256" width="9" style="1"/>
    <col min="257" max="257" width="14" style="1" customWidth="1"/>
    <col min="258" max="258" width="51.6296296296296" style="1" customWidth="1"/>
    <col min="259" max="263" width="9" style="1"/>
    <col min="264" max="264" width="14.2685185185185" style="1" customWidth="1"/>
    <col min="265" max="512" width="9" style="1"/>
    <col min="513" max="513" width="14" style="1" customWidth="1"/>
    <col min="514" max="514" width="51.6296296296296" style="1" customWidth="1"/>
    <col min="515" max="519" width="9" style="1"/>
    <col min="520" max="520" width="14.2685185185185" style="1" customWidth="1"/>
    <col min="521" max="768" width="9" style="1"/>
    <col min="769" max="769" width="14" style="1" customWidth="1"/>
    <col min="770" max="770" width="51.6296296296296" style="1" customWidth="1"/>
    <col min="771" max="775" width="9" style="1"/>
    <col min="776" max="776" width="14.2685185185185" style="1" customWidth="1"/>
    <col min="777" max="1024" width="9" style="1"/>
    <col min="1025" max="1025" width="14" style="1" customWidth="1"/>
    <col min="1026" max="1026" width="51.6296296296296" style="1" customWidth="1"/>
    <col min="1027" max="1031" width="9" style="1"/>
    <col min="1032" max="1032" width="14.2685185185185" style="1" customWidth="1"/>
    <col min="1033" max="1280" width="9" style="1"/>
    <col min="1281" max="1281" width="14" style="1" customWidth="1"/>
    <col min="1282" max="1282" width="51.6296296296296" style="1" customWidth="1"/>
    <col min="1283" max="1287" width="9" style="1"/>
    <col min="1288" max="1288" width="14.2685185185185" style="1" customWidth="1"/>
    <col min="1289" max="1536" width="9" style="1"/>
    <col min="1537" max="1537" width="14" style="1" customWidth="1"/>
    <col min="1538" max="1538" width="51.6296296296296" style="1" customWidth="1"/>
    <col min="1539" max="1543" width="9" style="1"/>
    <col min="1544" max="1544" width="14.2685185185185" style="1" customWidth="1"/>
    <col min="1545" max="1792" width="9" style="1"/>
    <col min="1793" max="1793" width="14" style="1" customWidth="1"/>
    <col min="1794" max="1794" width="51.6296296296296" style="1" customWidth="1"/>
    <col min="1795" max="1799" width="9" style="1"/>
    <col min="1800" max="1800" width="14.2685185185185" style="1" customWidth="1"/>
    <col min="1801" max="2048" width="9" style="1"/>
    <col min="2049" max="2049" width="14" style="1" customWidth="1"/>
    <col min="2050" max="2050" width="51.6296296296296" style="1" customWidth="1"/>
    <col min="2051" max="2055" width="9" style="1"/>
    <col min="2056" max="2056" width="14.2685185185185" style="1" customWidth="1"/>
    <col min="2057" max="2304" width="9" style="1"/>
    <col min="2305" max="2305" width="14" style="1" customWidth="1"/>
    <col min="2306" max="2306" width="51.6296296296296" style="1" customWidth="1"/>
    <col min="2307" max="2311" width="9" style="1"/>
    <col min="2312" max="2312" width="14.2685185185185" style="1" customWidth="1"/>
    <col min="2313" max="2560" width="9" style="1"/>
    <col min="2561" max="2561" width="14" style="1" customWidth="1"/>
    <col min="2562" max="2562" width="51.6296296296296" style="1" customWidth="1"/>
    <col min="2563" max="2567" width="9" style="1"/>
    <col min="2568" max="2568" width="14.2685185185185" style="1" customWidth="1"/>
    <col min="2569" max="2816" width="9" style="1"/>
    <col min="2817" max="2817" width="14" style="1" customWidth="1"/>
    <col min="2818" max="2818" width="51.6296296296296" style="1" customWidth="1"/>
    <col min="2819" max="2823" width="9" style="1"/>
    <col min="2824" max="2824" width="14.2685185185185" style="1" customWidth="1"/>
    <col min="2825" max="3072" width="9" style="1"/>
    <col min="3073" max="3073" width="14" style="1" customWidth="1"/>
    <col min="3074" max="3074" width="51.6296296296296" style="1" customWidth="1"/>
    <col min="3075" max="3079" width="9" style="1"/>
    <col min="3080" max="3080" width="14.2685185185185" style="1" customWidth="1"/>
    <col min="3081" max="3328" width="9" style="1"/>
    <col min="3329" max="3329" width="14" style="1" customWidth="1"/>
    <col min="3330" max="3330" width="51.6296296296296" style="1" customWidth="1"/>
    <col min="3331" max="3335" width="9" style="1"/>
    <col min="3336" max="3336" width="14.2685185185185" style="1" customWidth="1"/>
    <col min="3337" max="3584" width="9" style="1"/>
    <col min="3585" max="3585" width="14" style="1" customWidth="1"/>
    <col min="3586" max="3586" width="51.6296296296296" style="1" customWidth="1"/>
    <col min="3587" max="3591" width="9" style="1"/>
    <col min="3592" max="3592" width="14.2685185185185" style="1" customWidth="1"/>
    <col min="3593" max="3840" width="9" style="1"/>
    <col min="3841" max="3841" width="14" style="1" customWidth="1"/>
    <col min="3842" max="3842" width="51.6296296296296" style="1" customWidth="1"/>
    <col min="3843" max="3847" width="9" style="1"/>
    <col min="3848" max="3848" width="14.2685185185185" style="1" customWidth="1"/>
    <col min="3849" max="4096" width="9" style="1"/>
    <col min="4097" max="4097" width="14" style="1" customWidth="1"/>
    <col min="4098" max="4098" width="51.6296296296296" style="1" customWidth="1"/>
    <col min="4099" max="4103" width="9" style="1"/>
    <col min="4104" max="4104" width="14.2685185185185" style="1" customWidth="1"/>
    <col min="4105" max="4352" width="9" style="1"/>
    <col min="4353" max="4353" width="14" style="1" customWidth="1"/>
    <col min="4354" max="4354" width="51.6296296296296" style="1" customWidth="1"/>
    <col min="4355" max="4359" width="9" style="1"/>
    <col min="4360" max="4360" width="14.2685185185185" style="1" customWidth="1"/>
    <col min="4361" max="4608" width="9" style="1"/>
    <col min="4609" max="4609" width="14" style="1" customWidth="1"/>
    <col min="4610" max="4610" width="51.6296296296296" style="1" customWidth="1"/>
    <col min="4611" max="4615" width="9" style="1"/>
    <col min="4616" max="4616" width="14.2685185185185" style="1" customWidth="1"/>
    <col min="4617" max="4864" width="9" style="1"/>
    <col min="4865" max="4865" width="14" style="1" customWidth="1"/>
    <col min="4866" max="4866" width="51.6296296296296" style="1" customWidth="1"/>
    <col min="4867" max="4871" width="9" style="1"/>
    <col min="4872" max="4872" width="14.2685185185185" style="1" customWidth="1"/>
    <col min="4873" max="5120" width="9" style="1"/>
    <col min="5121" max="5121" width="14" style="1" customWidth="1"/>
    <col min="5122" max="5122" width="51.6296296296296" style="1" customWidth="1"/>
    <col min="5123" max="5127" width="9" style="1"/>
    <col min="5128" max="5128" width="14.2685185185185" style="1" customWidth="1"/>
    <col min="5129" max="5376" width="9" style="1"/>
    <col min="5377" max="5377" width="14" style="1" customWidth="1"/>
    <col min="5378" max="5378" width="51.6296296296296" style="1" customWidth="1"/>
    <col min="5379" max="5383" width="9" style="1"/>
    <col min="5384" max="5384" width="14.2685185185185" style="1" customWidth="1"/>
    <col min="5385" max="5632" width="9" style="1"/>
    <col min="5633" max="5633" width="14" style="1" customWidth="1"/>
    <col min="5634" max="5634" width="51.6296296296296" style="1" customWidth="1"/>
    <col min="5635" max="5639" width="9" style="1"/>
    <col min="5640" max="5640" width="14.2685185185185" style="1" customWidth="1"/>
    <col min="5641" max="5888" width="9" style="1"/>
    <col min="5889" max="5889" width="14" style="1" customWidth="1"/>
    <col min="5890" max="5890" width="51.6296296296296" style="1" customWidth="1"/>
    <col min="5891" max="5895" width="9" style="1"/>
    <col min="5896" max="5896" width="14.2685185185185" style="1" customWidth="1"/>
    <col min="5897" max="6144" width="9" style="1"/>
    <col min="6145" max="6145" width="14" style="1" customWidth="1"/>
    <col min="6146" max="6146" width="51.6296296296296" style="1" customWidth="1"/>
    <col min="6147" max="6151" width="9" style="1"/>
    <col min="6152" max="6152" width="14.2685185185185" style="1" customWidth="1"/>
    <col min="6153" max="6400" width="9" style="1"/>
    <col min="6401" max="6401" width="14" style="1" customWidth="1"/>
    <col min="6402" max="6402" width="51.6296296296296" style="1" customWidth="1"/>
    <col min="6403" max="6407" width="9" style="1"/>
    <col min="6408" max="6408" width="14.2685185185185" style="1" customWidth="1"/>
    <col min="6409" max="6656" width="9" style="1"/>
    <col min="6657" max="6657" width="14" style="1" customWidth="1"/>
    <col min="6658" max="6658" width="51.6296296296296" style="1" customWidth="1"/>
    <col min="6659" max="6663" width="9" style="1"/>
    <col min="6664" max="6664" width="14.2685185185185" style="1" customWidth="1"/>
    <col min="6665" max="6912" width="9" style="1"/>
    <col min="6913" max="6913" width="14" style="1" customWidth="1"/>
    <col min="6914" max="6914" width="51.6296296296296" style="1" customWidth="1"/>
    <col min="6915" max="6919" width="9" style="1"/>
    <col min="6920" max="6920" width="14.2685185185185" style="1" customWidth="1"/>
    <col min="6921" max="7168" width="9" style="1"/>
    <col min="7169" max="7169" width="14" style="1" customWidth="1"/>
    <col min="7170" max="7170" width="51.6296296296296" style="1" customWidth="1"/>
    <col min="7171" max="7175" width="9" style="1"/>
    <col min="7176" max="7176" width="14.2685185185185" style="1" customWidth="1"/>
    <col min="7177" max="7424" width="9" style="1"/>
    <col min="7425" max="7425" width="14" style="1" customWidth="1"/>
    <col min="7426" max="7426" width="51.6296296296296" style="1" customWidth="1"/>
    <col min="7427" max="7431" width="9" style="1"/>
    <col min="7432" max="7432" width="14.2685185185185" style="1" customWidth="1"/>
    <col min="7433" max="7680" width="9" style="1"/>
    <col min="7681" max="7681" width="14" style="1" customWidth="1"/>
    <col min="7682" max="7682" width="51.6296296296296" style="1" customWidth="1"/>
    <col min="7683" max="7687" width="9" style="1"/>
    <col min="7688" max="7688" width="14.2685185185185" style="1" customWidth="1"/>
    <col min="7689" max="7936" width="9" style="1"/>
    <col min="7937" max="7937" width="14" style="1" customWidth="1"/>
    <col min="7938" max="7938" width="51.6296296296296" style="1" customWidth="1"/>
    <col min="7939" max="7943" width="9" style="1"/>
    <col min="7944" max="7944" width="14.2685185185185" style="1" customWidth="1"/>
    <col min="7945" max="8192" width="9" style="1"/>
    <col min="8193" max="8193" width="14" style="1" customWidth="1"/>
    <col min="8194" max="8194" width="51.6296296296296" style="1" customWidth="1"/>
    <col min="8195" max="8199" width="9" style="1"/>
    <col min="8200" max="8200" width="14.2685185185185" style="1" customWidth="1"/>
    <col min="8201" max="8448" width="9" style="1"/>
    <col min="8449" max="8449" width="14" style="1" customWidth="1"/>
    <col min="8450" max="8450" width="51.6296296296296" style="1" customWidth="1"/>
    <col min="8451" max="8455" width="9" style="1"/>
    <col min="8456" max="8456" width="14.2685185185185" style="1" customWidth="1"/>
    <col min="8457" max="8704" width="9" style="1"/>
    <col min="8705" max="8705" width="14" style="1" customWidth="1"/>
    <col min="8706" max="8706" width="51.6296296296296" style="1" customWidth="1"/>
    <col min="8707" max="8711" width="9" style="1"/>
    <col min="8712" max="8712" width="14.2685185185185" style="1" customWidth="1"/>
    <col min="8713" max="8960" width="9" style="1"/>
    <col min="8961" max="8961" width="14" style="1" customWidth="1"/>
    <col min="8962" max="8962" width="51.6296296296296" style="1" customWidth="1"/>
    <col min="8963" max="8967" width="9" style="1"/>
    <col min="8968" max="8968" width="14.2685185185185" style="1" customWidth="1"/>
    <col min="8969" max="9216" width="9" style="1"/>
    <col min="9217" max="9217" width="14" style="1" customWidth="1"/>
    <col min="9218" max="9218" width="51.6296296296296" style="1" customWidth="1"/>
    <col min="9219" max="9223" width="9" style="1"/>
    <col min="9224" max="9224" width="14.2685185185185" style="1" customWidth="1"/>
    <col min="9225" max="9472" width="9" style="1"/>
    <col min="9473" max="9473" width="14" style="1" customWidth="1"/>
    <col min="9474" max="9474" width="51.6296296296296" style="1" customWidth="1"/>
    <col min="9475" max="9479" width="9" style="1"/>
    <col min="9480" max="9480" width="14.2685185185185" style="1" customWidth="1"/>
    <col min="9481" max="9728" width="9" style="1"/>
    <col min="9729" max="9729" width="14" style="1" customWidth="1"/>
    <col min="9730" max="9730" width="51.6296296296296" style="1" customWidth="1"/>
    <col min="9731" max="9735" width="9" style="1"/>
    <col min="9736" max="9736" width="14.2685185185185" style="1" customWidth="1"/>
    <col min="9737" max="9984" width="9" style="1"/>
    <col min="9985" max="9985" width="14" style="1" customWidth="1"/>
    <col min="9986" max="9986" width="51.6296296296296" style="1" customWidth="1"/>
    <col min="9987" max="9991" width="9" style="1"/>
    <col min="9992" max="9992" width="14.2685185185185" style="1" customWidth="1"/>
    <col min="9993" max="10240" width="9" style="1"/>
    <col min="10241" max="10241" width="14" style="1" customWidth="1"/>
    <col min="10242" max="10242" width="51.6296296296296" style="1" customWidth="1"/>
    <col min="10243" max="10247" width="9" style="1"/>
    <col min="10248" max="10248" width="14.2685185185185" style="1" customWidth="1"/>
    <col min="10249" max="10496" width="9" style="1"/>
    <col min="10497" max="10497" width="14" style="1" customWidth="1"/>
    <col min="10498" max="10498" width="51.6296296296296" style="1" customWidth="1"/>
    <col min="10499" max="10503" width="9" style="1"/>
    <col min="10504" max="10504" width="14.2685185185185" style="1" customWidth="1"/>
    <col min="10505" max="10752" width="9" style="1"/>
    <col min="10753" max="10753" width="14" style="1" customWidth="1"/>
    <col min="10754" max="10754" width="51.6296296296296" style="1" customWidth="1"/>
    <col min="10755" max="10759" width="9" style="1"/>
    <col min="10760" max="10760" width="14.2685185185185" style="1" customWidth="1"/>
    <col min="10761" max="11008" width="9" style="1"/>
    <col min="11009" max="11009" width="14" style="1" customWidth="1"/>
    <col min="11010" max="11010" width="51.6296296296296" style="1" customWidth="1"/>
    <col min="11011" max="11015" width="9" style="1"/>
    <col min="11016" max="11016" width="14.2685185185185" style="1" customWidth="1"/>
    <col min="11017" max="11264" width="9" style="1"/>
    <col min="11265" max="11265" width="14" style="1" customWidth="1"/>
    <col min="11266" max="11266" width="51.6296296296296" style="1" customWidth="1"/>
    <col min="11267" max="11271" width="9" style="1"/>
    <col min="11272" max="11272" width="14.2685185185185" style="1" customWidth="1"/>
    <col min="11273" max="11520" width="9" style="1"/>
    <col min="11521" max="11521" width="14" style="1" customWidth="1"/>
    <col min="11522" max="11522" width="51.6296296296296" style="1" customWidth="1"/>
    <col min="11523" max="11527" width="9" style="1"/>
    <col min="11528" max="11528" width="14.2685185185185" style="1" customWidth="1"/>
    <col min="11529" max="11776" width="9" style="1"/>
    <col min="11777" max="11777" width="14" style="1" customWidth="1"/>
    <col min="11778" max="11778" width="51.6296296296296" style="1" customWidth="1"/>
    <col min="11779" max="11783" width="9" style="1"/>
    <col min="11784" max="11784" width="14.2685185185185" style="1" customWidth="1"/>
    <col min="11785" max="12032" width="9" style="1"/>
    <col min="12033" max="12033" width="14" style="1" customWidth="1"/>
    <col min="12034" max="12034" width="51.6296296296296" style="1" customWidth="1"/>
    <col min="12035" max="12039" width="9" style="1"/>
    <col min="12040" max="12040" width="14.2685185185185" style="1" customWidth="1"/>
    <col min="12041" max="12288" width="9" style="1"/>
    <col min="12289" max="12289" width="14" style="1" customWidth="1"/>
    <col min="12290" max="12290" width="51.6296296296296" style="1" customWidth="1"/>
    <col min="12291" max="12295" width="9" style="1"/>
    <col min="12296" max="12296" width="14.2685185185185" style="1" customWidth="1"/>
    <col min="12297" max="12544" width="9" style="1"/>
    <col min="12545" max="12545" width="14" style="1" customWidth="1"/>
    <col min="12546" max="12546" width="51.6296296296296" style="1" customWidth="1"/>
    <col min="12547" max="12551" width="9" style="1"/>
    <col min="12552" max="12552" width="14.2685185185185" style="1" customWidth="1"/>
    <col min="12553" max="12800" width="9" style="1"/>
    <col min="12801" max="12801" width="14" style="1" customWidth="1"/>
    <col min="12802" max="12802" width="51.6296296296296" style="1" customWidth="1"/>
    <col min="12803" max="12807" width="9" style="1"/>
    <col min="12808" max="12808" width="14.2685185185185" style="1" customWidth="1"/>
    <col min="12809" max="13056" width="9" style="1"/>
    <col min="13057" max="13057" width="14" style="1" customWidth="1"/>
    <col min="13058" max="13058" width="51.6296296296296" style="1" customWidth="1"/>
    <col min="13059" max="13063" width="9" style="1"/>
    <col min="13064" max="13064" width="14.2685185185185" style="1" customWidth="1"/>
    <col min="13065" max="13312" width="9" style="1"/>
    <col min="13313" max="13313" width="14" style="1" customWidth="1"/>
    <col min="13314" max="13314" width="51.6296296296296" style="1" customWidth="1"/>
    <col min="13315" max="13319" width="9" style="1"/>
    <col min="13320" max="13320" width="14.2685185185185" style="1" customWidth="1"/>
    <col min="13321" max="13568" width="9" style="1"/>
    <col min="13569" max="13569" width="14" style="1" customWidth="1"/>
    <col min="13570" max="13570" width="51.6296296296296" style="1" customWidth="1"/>
    <col min="13571" max="13575" width="9" style="1"/>
    <col min="13576" max="13576" width="14.2685185185185" style="1" customWidth="1"/>
    <col min="13577" max="13824" width="9" style="1"/>
    <col min="13825" max="13825" width="14" style="1" customWidth="1"/>
    <col min="13826" max="13826" width="51.6296296296296" style="1" customWidth="1"/>
    <col min="13827" max="13831" width="9" style="1"/>
    <col min="13832" max="13832" width="14.2685185185185" style="1" customWidth="1"/>
    <col min="13833" max="14080" width="9" style="1"/>
    <col min="14081" max="14081" width="14" style="1" customWidth="1"/>
    <col min="14082" max="14082" width="51.6296296296296" style="1" customWidth="1"/>
    <col min="14083" max="14087" width="9" style="1"/>
    <col min="14088" max="14088" width="14.2685185185185" style="1" customWidth="1"/>
    <col min="14089" max="14336" width="9" style="1"/>
    <col min="14337" max="14337" width="14" style="1" customWidth="1"/>
    <col min="14338" max="14338" width="51.6296296296296" style="1" customWidth="1"/>
    <col min="14339" max="14343" width="9" style="1"/>
    <col min="14344" max="14344" width="14.2685185185185" style="1" customWidth="1"/>
    <col min="14345" max="14592" width="9" style="1"/>
    <col min="14593" max="14593" width="14" style="1" customWidth="1"/>
    <col min="14594" max="14594" width="51.6296296296296" style="1" customWidth="1"/>
    <col min="14595" max="14599" width="9" style="1"/>
    <col min="14600" max="14600" width="14.2685185185185" style="1" customWidth="1"/>
    <col min="14601" max="14848" width="9" style="1"/>
    <col min="14849" max="14849" width="14" style="1" customWidth="1"/>
    <col min="14850" max="14850" width="51.6296296296296" style="1" customWidth="1"/>
    <col min="14851" max="14855" width="9" style="1"/>
    <col min="14856" max="14856" width="14.2685185185185" style="1" customWidth="1"/>
    <col min="14857" max="15104" width="9" style="1"/>
    <col min="15105" max="15105" width="14" style="1" customWidth="1"/>
    <col min="15106" max="15106" width="51.6296296296296" style="1" customWidth="1"/>
    <col min="15107" max="15111" width="9" style="1"/>
    <col min="15112" max="15112" width="14.2685185185185" style="1" customWidth="1"/>
    <col min="15113" max="15360" width="9" style="1"/>
    <col min="15361" max="15361" width="14" style="1" customWidth="1"/>
    <col min="15362" max="15362" width="51.6296296296296" style="1" customWidth="1"/>
    <col min="15363" max="15367" width="9" style="1"/>
    <col min="15368" max="15368" width="14.2685185185185" style="1" customWidth="1"/>
    <col min="15369" max="15616" width="9" style="1"/>
    <col min="15617" max="15617" width="14" style="1" customWidth="1"/>
    <col min="15618" max="15618" width="51.6296296296296" style="1" customWidth="1"/>
    <col min="15619" max="15623" width="9" style="1"/>
    <col min="15624" max="15624" width="14.2685185185185" style="1" customWidth="1"/>
    <col min="15625" max="15872" width="9" style="1"/>
    <col min="15873" max="15873" width="14" style="1" customWidth="1"/>
    <col min="15874" max="15874" width="51.6296296296296" style="1" customWidth="1"/>
    <col min="15875" max="15879" width="9" style="1"/>
    <col min="15880" max="15880" width="14.2685185185185" style="1" customWidth="1"/>
    <col min="15881" max="16128" width="9" style="1"/>
    <col min="16129" max="16129" width="14" style="1" customWidth="1"/>
    <col min="16130" max="16130" width="51.6296296296296" style="1" customWidth="1"/>
    <col min="16131" max="16135" width="9" style="1"/>
    <col min="16136" max="16136" width="14.2685185185185" style="1" customWidth="1"/>
    <col min="16137" max="16384" width="9" style="1"/>
  </cols>
  <sheetData>
    <row r="1" ht="17.4" spans="1:2">
      <c r="A1" s="2" t="s">
        <v>177</v>
      </c>
      <c r="B1" s="3"/>
    </row>
    <row r="2" ht="15.6" spans="1:4">
      <c r="A2" s="4" t="s">
        <v>178</v>
      </c>
      <c r="B2" s="4" t="s">
        <v>179</v>
      </c>
      <c r="D2" s="5"/>
    </row>
    <row r="3" spans="1:2">
      <c r="A3" s="6" t="s">
        <v>180</v>
      </c>
      <c r="B3" s="7" t="s">
        <v>181</v>
      </c>
    </row>
    <row r="4" ht="88.5" customHeight="1" spans="1:2">
      <c r="A4" s="6"/>
      <c r="B4" s="7"/>
    </row>
    <row r="5" spans="1:2">
      <c r="A5" s="6" t="s">
        <v>182</v>
      </c>
      <c r="B5" s="7" t="s">
        <v>183</v>
      </c>
    </row>
    <row r="6" spans="1:2">
      <c r="A6" s="8"/>
      <c r="B6" s="9"/>
    </row>
    <row r="7" spans="1:2">
      <c r="A7" s="8"/>
      <c r="B7" s="9"/>
    </row>
    <row r="8" ht="75.75" customHeight="1" spans="1:2">
      <c r="A8" s="8"/>
      <c r="B8" s="9"/>
    </row>
    <row r="9" spans="1:2">
      <c r="A9" s="6" t="s">
        <v>184</v>
      </c>
      <c r="B9" s="7" t="s">
        <v>185</v>
      </c>
    </row>
    <row r="10" spans="1:2">
      <c r="A10" s="6"/>
      <c r="B10" s="7"/>
    </row>
    <row r="11" spans="1:2">
      <c r="A11" s="6"/>
      <c r="B11" s="7"/>
    </row>
    <row r="12" ht="123.75" customHeight="1" spans="1:2">
      <c r="A12" s="6"/>
      <c r="B12" s="7"/>
    </row>
    <row r="13" spans="1:2">
      <c r="A13" s="6" t="s">
        <v>186</v>
      </c>
      <c r="B13" s="10" t="s">
        <v>187</v>
      </c>
    </row>
    <row r="14" ht="90" customHeight="1" spans="1:2">
      <c r="A14" s="6"/>
      <c r="B14" s="11"/>
    </row>
    <row r="15" spans="1:2">
      <c r="A15" s="6" t="s">
        <v>188</v>
      </c>
      <c r="B15" s="10" t="s">
        <v>189</v>
      </c>
    </row>
    <row r="16" ht="54" customHeight="1" spans="1:2">
      <c r="A16" s="6"/>
      <c r="B16" s="11"/>
    </row>
    <row r="17" spans="1:2">
      <c r="A17" s="6" t="s">
        <v>190</v>
      </c>
      <c r="B17" s="10" t="s">
        <v>191</v>
      </c>
    </row>
    <row r="18" spans="1:2">
      <c r="A18" s="6"/>
      <c r="B18" s="11"/>
    </row>
  </sheetData>
  <mergeCells count="13">
    <mergeCell ref="A1:B1"/>
    <mergeCell ref="A3:A4"/>
    <mergeCell ref="A5:A8"/>
    <mergeCell ref="A9:A12"/>
    <mergeCell ref="A13:A14"/>
    <mergeCell ref="A15:A16"/>
    <mergeCell ref="A17:A18"/>
    <mergeCell ref="B3:B4"/>
    <mergeCell ref="B5:B8"/>
    <mergeCell ref="B9:B12"/>
    <mergeCell ref="B13:B14"/>
    <mergeCell ref="B15:B16"/>
    <mergeCell ref="B17:B18"/>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封面</vt:lpstr>
      <vt:lpstr>单元测试情况汇总</vt:lpstr>
      <vt:lpstr>寿险2021智慧银保行销支持系统</vt:lpstr>
      <vt:lpstr>缺陷记录</vt:lpstr>
      <vt:lpstr>测试用例设计规范</vt:lpstr>
      <vt:lpstr>缺陷等级说明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zlsd</cp:lastModifiedBy>
  <dcterms:created xsi:type="dcterms:W3CDTF">2006-09-13T11:21:00Z</dcterms:created>
  <dcterms:modified xsi:type="dcterms:W3CDTF">2026-03-04T02:55:10Z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2052-12.8.2.21177</vt:lpwstr>
  </property>
  <property fmtid="{D5CDD505-2E9C-101B-9397-08002B2CF9AE}" pid="3" name="ICV">
    <vt:lpwstr>2F841C3FABD4463BB74F262B2127F67C</vt:lpwstr>
  </property>
  <property fmtid="{D5CDD505-2E9C-101B-9397-08002B2CF9AE}" pid="4" name="CalculationRule">
    <vt:i4>0</vt:i4>
  </property>
</Properties>
</file>